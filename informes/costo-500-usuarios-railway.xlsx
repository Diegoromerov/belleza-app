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charts/chart1.xml" ContentType="application/vnd.openxmlformats-officedocument.drawingml.chart+xml"/>
  <Override PartName="/xl/charts/chart2.xml" ContentType="application/vnd.openxmlformats-officedocument.drawingml.chart+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sumen" sheetId="1" state="visible" r:id="rId3"/>
    <sheet name="Resumen COP" sheetId="2" state="visible" r:id="rId4"/>
    <sheet name="Supuestos" sheetId="3" state="visible" r:id="rId5"/>
    <sheet name="Costos IA" sheetId="4" state="visible" r:id="rId6"/>
    <sheet name="Infra Railway" sheetId="5" state="visible" r:id="rId7"/>
    <sheet name="Sensibilidad" sheetId="6" state="visible" r:id="rId8"/>
    <sheet name="Fuent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<sst xmlns="http://schemas.openxmlformats.org/spreadsheetml/2006/main" count="303" uniqueCount="263">
  <si>
    <t xml:space="preserve">Costo mensual estimado · 500 personas en GlowApp sobre Railway</t>
  </si>
  <si>
    <t xml:space="preserve">Escenario BASE: 500 personas activas, 1,5 escaneos/mes cada una, chat moderado. Cifras en USD, mes calendario, impuestos no incluidos.</t>
  </si>
  <si>
    <t xml:space="preserve">Métrica</t>
  </si>
  <si>
    <t xml:space="preserve">BAJO</t>
  </si>
  <si>
    <t xml:space="preserve">BASE</t>
  </si>
  <si>
    <t xml:space="preserve">ALTO</t>
  </si>
  <si>
    <t xml:space="preserve">Nota</t>
  </si>
  <si>
    <t xml:space="preserve">Personas activas / mes</t>
  </si>
  <si>
    <t xml:space="preserve">Personas objetivo × % activos.</t>
  </si>
  <si>
    <t xml:space="preserve">Escaneos faciales / mes</t>
  </si>
  <si>
    <t xml:space="preserve">Costo de IA y APIs</t>
  </si>
  <si>
    <t xml:space="preserve">YouCam + Gemini + DeepSeek.</t>
  </si>
  <si>
    <t xml:space="preserve">Infraestructura Railway</t>
  </si>
  <si>
    <t xml:space="preserve">Casi fija; no escala con usuarios.</t>
  </si>
  <si>
    <t xml:space="preserve">TOTAL MENSUAL</t>
  </si>
  <si>
    <t xml:space="preserve">Costo por persona activa</t>
  </si>
  <si>
    <t xml:space="preserve">Costo por persona (500)</t>
  </si>
  <si>
    <t xml:space="preserve">Referencia del caso solicitado.</t>
  </si>
  <si>
    <t xml:space="preserve">% del costo que es IA</t>
  </si>
  <si>
    <t xml:space="preserve">% del costo que es Railway</t>
  </si>
  <si>
    <t xml:space="preserve">YouCam (dentro de IA)</t>
  </si>
  <si>
    <t xml:space="preserve">Un solo proveedor concentra el gasto.</t>
  </si>
  <si>
    <t xml:space="preserve">Unidades YouCam / mes</t>
  </si>
  <si>
    <t xml:space="preserve">Costo IA por escaneo</t>
  </si>
  <si>
    <t xml:space="preserve">Margen unitario.</t>
  </si>
  <si>
    <t xml:space="preserve">Lectura rápida</t>
  </si>
  <si>
    <t xml:space="preserve">1) El costo lo manda YouCam, no Railway: un escaneo HD de 16 acciones consume 22 unidades (~USD 1,06). 2) La infraestructura es casi fija (~USD 70/mes) porque los contenedores están encendidos aunque no haya tráfico. 3) El documento GIA-14-I estima USD 0,04 por persona/mes (~USD 20 para 500): eso no cubre ni la infraestructura ni un solo escaneo.</t>
  </si>
  <si>
    <t xml:space="preserve">Costo mensual en pesos colombianos (COP)</t>
  </si>
  <si>
    <t xml:space="preserve">Conversión a la TRM vigente del 24–26 de octubre de 2026: $3.158,43 COP/USD (Superfinanciera). Los proveedores facturan en USD; la TRM cambia la lectura local y el riesgo cambiario, no la factura.</t>
  </si>
  <si>
    <t xml:space="preserve">TRM usada (COP por USD)</t>
  </si>
  <si>
    <t xml:space="preserve">Editable en Supuestos (fila 33).</t>
  </si>
  <si>
    <t xml:space="preserve">TOTAL MENSUAL (COP)</t>
  </si>
  <si>
    <t xml:space="preserve">Costo total del mes.</t>
  </si>
  <si>
    <t xml:space="preserve">IA y APIs (COP)</t>
  </si>
  <si>
    <t xml:space="preserve">92 % del total en BASE.</t>
  </si>
  <si>
    <t xml:space="preserve">Railway (COP)</t>
  </si>
  <si>
    <t xml:space="preserve">Casi fijo.</t>
  </si>
  <si>
    <t xml:space="preserve">YouCam (COP)</t>
  </si>
  <si>
    <t xml:space="preserve">Dentro de IA.</t>
  </si>
  <si>
    <t xml:space="preserve">Costo por persona activa (COP)</t>
  </si>
  <si>
    <t xml:space="preserve">Mensual.</t>
  </si>
  <si>
    <t xml:space="preserve">Costo por persona / 500 (COP)</t>
  </si>
  <si>
    <t xml:space="preserve">Costo por escaneo (COP)</t>
  </si>
  <si>
    <t xml:space="preserve">Variable dominante.</t>
  </si>
  <si>
    <t xml:space="preserve">Costo por escaneo (USD)</t>
  </si>
  <si>
    <t xml:space="preserve">Referencia.</t>
  </si>
  <si>
    <t xml:space="preserve">Sensibilidad a la TRM (escenario BASE)</t>
  </si>
  <si>
    <t xml:space="preserve">Escenario de TRM</t>
  </si>
  <si>
    <t xml:space="preserve">TRM (COP/USD)</t>
  </si>
  <si>
    <t xml:space="preserve">Total BASE (COP)</t>
  </si>
  <si>
    <t xml:space="preserve">Variación</t>
  </si>
  <si>
    <t xml:space="preserve">TRM 10 % más baja</t>
  </si>
  <si>
    <t xml:space="preserve">TRM vigente</t>
  </si>
  <si>
    <t xml:space="preserve">TRM 10 % más alta</t>
  </si>
  <si>
    <t xml:space="preserve">La TRM no altera el costo en USD: si el ingreso es en pesos y la factura en dólares, una devaluación del 10 % sube el costo en COP 10 % con el mismo consumo. El punto medio de la banda (USD 875) equivale a ≈ $2,76 millones COP/mes.</t>
  </si>
  <si>
    <t xml:space="preserve">Supuestos de la simulación · 500 personas · GlowApp en Railway</t>
  </si>
  <si>
    <t xml:space="preserve">Celdas amarillas = entradas editables. Las columnas BAJO / BASE / ALTO son tres perfiles de uso. Todo lo demás del libro se recalcula a partir de aquí.</t>
  </si>
  <si>
    <t xml:space="preserve">Parámetro</t>
  </si>
  <si>
    <t xml:space="preserve">Unidad</t>
  </si>
  <si>
    <t xml:space="preserve">Fuente / evidencia</t>
  </si>
  <si>
    <t xml:space="preserve">Personas objetivo</t>
  </si>
  <si>
    <t xml:space="preserve">usuarios</t>
  </si>
  <si>
    <t xml:space="preserve">Caso solicitado: 500 personas.</t>
  </si>
  <si>
    <t xml:space="preserve">% de esas personas activas en el mes</t>
  </si>
  <si>
    <t xml:space="preserve">%</t>
  </si>
  <si>
    <t xml:space="preserve">Supuesto de producto; no hay telemetría en el repo.</t>
  </si>
  <si>
    <t xml:space="preserve">Escaneos faciales por persona activa / mes</t>
  </si>
  <si>
    <t xml:space="preserve">escaneos</t>
  </si>
  <si>
    <t xml:space="preserve">Protocolo Día 1 + re-escaneo Día 15/30 (GIA-13-N).</t>
  </si>
  <si>
    <t xml:space="preserve">Acciones HD solicitadas por escaneo</t>
  </si>
  <si>
    <t xml:space="preserve">acciones</t>
  </si>
  <si>
    <t xml:space="preserve">backend/src/services/biometric/youcam.client.js: SKIN_ANALYSIS_ACTIONS (16).</t>
  </si>
  <si>
    <t xml:space="preserve">Unidades YouCam consumidas por escaneo</t>
  </si>
  <si>
    <t xml:space="preserve">unidades</t>
  </si>
  <si>
    <t xml:space="preserve">Tabla oficial: 13–16 concerns HD = 22 unidades.</t>
  </si>
  <si>
    <t xml:space="preserve">Precio por unidad YouCam (suscripción)</t>
  </si>
  <si>
    <t xml:space="preserve">USD/unidad</t>
  </si>
  <si>
    <t xml:space="preserve">Plan suscripción 500+ unidades. PAYG = 0.055.</t>
  </si>
  <si>
    <t xml:space="preserve">Mensajes al chat de IA por persona activa / mes</t>
  </si>
  <si>
    <t xml:space="preserve">mensajes</t>
  </si>
  <si>
    <t xml:space="preserve">Supuesto de engagement; el chat usa DeepSeek con RAG topK=5.</t>
  </si>
  <si>
    <t xml:space="preserve">Tokens de entrada por mensaje de chat</t>
  </si>
  <si>
    <t xml:space="preserve">tokens</t>
  </si>
  <si>
    <t xml:space="preserve">RAG topK=5 + catálogo de servicios cacheado + historial.</t>
  </si>
  <si>
    <t xml:space="preserve">Tokens de salida por mensaje de chat</t>
  </si>
  <si>
    <t xml:space="preserve">Respuesta conversacional típica.</t>
  </si>
  <si>
    <t xml:space="preserve">Tokens de entrada · Gemini manos (imagen)</t>
  </si>
  <si>
    <t xml:space="preserve">Imagen normalizada + prompt corto (gemini.client.js, maxOutputTokens 256).</t>
  </si>
  <si>
    <t xml:space="preserve">Tokens de salida · Gemini manos</t>
  </si>
  <si>
    <t xml:space="preserve">Salida JSON corta.</t>
  </si>
  <si>
    <t xml:space="preserve">Tokens de entrada · DeepSeek recomendación</t>
  </si>
  <si>
    <t xml:space="preserve">RECOMMENDATION_PROMPT (prompts.js).</t>
  </si>
  <si>
    <t xml:space="preserve">Tokens de salida · DeepSeek recomendación</t>
  </si>
  <si>
    <t xml:space="preserve">max_tokens 800.</t>
  </si>
  <si>
    <t xml:space="preserve">Tokens de entrada · DeepSeek matching VTO</t>
  </si>
  <si>
    <t xml:space="preserve">Prompt de subtono (deepseek.client.js).</t>
  </si>
  <si>
    <t xml:space="preserve">Tokens de salida · DeepSeek matching VTO</t>
  </si>
  <si>
    <t xml:space="preserve">max_tokens 400.</t>
  </si>
  <si>
    <t xml:space="preserve">Precio Gemini 3.1 Flash-Lite · entrada</t>
  </si>
  <si>
    <t xml:space="preserve">USD/1M</t>
  </si>
  <si>
    <t xml:space="preserve">Google AI pricing (vigente hasta 31-dic-2026).</t>
  </si>
  <si>
    <t xml:space="preserve">Precio Gemini 3.1 Flash-Lite · salida</t>
  </si>
  <si>
    <t xml:space="preserve">Google AI pricing.</t>
  </si>
  <si>
    <t xml:space="preserve">Precio DeepSeek Flash · entrada (hora pico)</t>
  </si>
  <si>
    <t xml:space="preserve">DeepSeek pricing; off-peak = mitad.</t>
  </si>
  <si>
    <t xml:space="preserve">Precio DeepSeek Flash · salida (hora pico)</t>
  </si>
  <si>
    <t xml:space="preserve">Análisis de forma facial por persona / mes</t>
  </si>
  <si>
    <t xml:space="preserve">llamadas</t>
  </si>
  <si>
    <t xml:space="preserve">designsController.js (Gemini visión sobre foto).</t>
  </si>
  <si>
    <t xml:space="preserve">Tokens de entrada · forma facial</t>
  </si>
  <si>
    <t xml:space="preserve">Imagen + prompt.</t>
  </si>
  <si>
    <t xml:space="preserve">Tokens de salida · forma facial</t>
  </si>
  <si>
    <t xml:space="preserve">JSON/texto corto.</t>
  </si>
  <si>
    <t xml:space="preserve">Factor de costo del entorno staging</t>
  </si>
  <si>
    <t xml:space="preserve">% de prod</t>
  </si>
  <si>
    <t xml:space="preserve">railway.yml declara environments.staging clonado de production.</t>
  </si>
  <si>
    <t xml:space="preserve">Servicios varios (dominio, R2, Sentry)</t>
  </si>
  <si>
    <t xml:space="preserve">USD/mes</t>
  </si>
  <si>
    <t xml:space="preserve">Cloudflare R2 + Sentry free + dominio.</t>
  </si>
  <si>
    <t xml:space="preserve">Railway · precio vCPU</t>
  </si>
  <si>
    <t xml:space="preserve">USD/vCPU/mes</t>
  </si>
  <si>
    <t xml:space="preserve">railway.com/pricing</t>
  </si>
  <si>
    <t xml:space="preserve">Railway · precio RAM</t>
  </si>
  <si>
    <t xml:space="preserve">USD/GB/mes</t>
  </si>
  <si>
    <t xml:space="preserve">Railway · precio volumen</t>
  </si>
  <si>
    <t xml:space="preserve">Railway · precio egress</t>
  </si>
  <si>
    <t xml:space="preserve">USD/GB</t>
  </si>
  <si>
    <t xml:space="preserve">Plan Railway Pro (incluye USD 20 de uso)</t>
  </si>
  <si>
    <t xml:space="preserve">El plan se paga con el uso; se toma el mayor entre plan y uso.</t>
  </si>
  <si>
    <t xml:space="preserve">TRM COP/USD</t>
  </si>
  <si>
    <t xml:space="preserve">COP por USD</t>
  </si>
  <si>
    <t xml:space="preserve">TRM vigente 24–26 oct 2026 (Superfinanciera). Editable.</t>
  </si>
  <si>
    <t xml:space="preserve">Costos de IA y APIs externas</t>
  </si>
  <si>
    <t xml:space="preserve">YouCam se cobra por unidad (22 unidades por escaneo HD de 16 acciones). Gemini y DeepSeek se cobran por token. Ver hoja Supuestos para editar.</t>
  </si>
  <si>
    <t xml:space="preserve">Concepto</t>
  </si>
  <si>
    <t xml:space="preserve">Detalle</t>
  </si>
  <si>
    <t xml:space="preserve">personas activas × escaneos</t>
  </si>
  <si>
    <t xml:space="preserve">Volumen que dispara el costo.</t>
  </si>
  <si>
    <t xml:space="preserve">escaneos × 22 unidades</t>
  </si>
  <si>
    <t xml:space="preserve">13–16 concerns en HD.</t>
  </si>
  <si>
    <t xml:space="preserve">YouCam · análisis facial (16 HD)</t>
  </si>
  <si>
    <t xml:space="preserve">unidades × precio unidad</t>
  </si>
  <si>
    <t xml:space="preserve">Rubro dominante.</t>
  </si>
  <si>
    <t xml:space="preserve">Gemini · diagnóstico de manos</t>
  </si>
  <si>
    <t xml:space="preserve">escaneos × (in·p_in + out·p_out)</t>
  </si>
  <si>
    <t xml:space="preserve">Visión, salida corta.</t>
  </si>
  <si>
    <t xml:space="preserve">DeepSeek · recomendación</t>
  </si>
  <si>
    <t xml:space="preserve">escaneos × tokens</t>
  </si>
  <si>
    <t xml:space="preserve">Rutina AM/PM.</t>
  </si>
  <si>
    <t xml:space="preserve">DeepSeek · matching de tonos VTO</t>
  </si>
  <si>
    <t xml:space="preserve">Paleta por subtono.</t>
  </si>
  <si>
    <t xml:space="preserve">DeepSeek · chat asistente (RAG)</t>
  </si>
  <si>
    <t xml:space="preserve">mensajes × tokens</t>
  </si>
  <si>
    <t xml:space="preserve">Crece con engagement.</t>
  </si>
  <si>
    <t xml:space="preserve">Gemini · análisis de forma facial</t>
  </si>
  <si>
    <t xml:space="preserve">llamadas × tokens</t>
  </si>
  <si>
    <t xml:space="preserve">Módulo de diseños.</t>
  </si>
  <si>
    <t xml:space="preserve">TOTAL IA / mes</t>
  </si>
  <si>
    <t xml:space="preserve">suma</t>
  </si>
  <si>
    <t xml:space="preserve">Solo APIs de IA.</t>
  </si>
  <si>
    <t xml:space="preserve">total ÷ escaneos</t>
  </si>
  <si>
    <t xml:space="preserve">Costo IA por persona activa</t>
  </si>
  <si>
    <t xml:space="preserve">total ÷ activos</t>
  </si>
  <si>
    <t xml:space="preserve">personas × % activos</t>
  </si>
  <si>
    <t xml:space="preserve">Infraestructura Railway · consumo mensual estimado</t>
  </si>
  <si>
    <t xml:space="preserve">Railway cobra por segundo: CPU, RAM y volumen. Los valores de vCPU/RAM son promedios mensuales supuestos (no hay métricas históricas en el repo). Ajuste la columna B/D/F con las métricas reales del dashboard.</t>
  </si>
  <si>
    <t xml:space="preserve">Servicio</t>
  </si>
  <si>
    <t xml:space="preserve">vCPU prom.</t>
  </si>
  <si>
    <t xml:space="preserve">Costo CPU</t>
  </si>
  <si>
    <t xml:space="preserve">RAM GB prom.</t>
  </si>
  <si>
    <t xml:space="preserve">Costo RAM</t>
  </si>
  <si>
    <t xml:space="preserve">Volumen GB</t>
  </si>
  <si>
    <t xml:space="preserve">Costo volumen</t>
  </si>
  <si>
    <t xml:space="preserve">Subtotal</t>
  </si>
  <si>
    <t xml:space="preserve">API Node/Express (backend)</t>
  </si>
  <si>
    <t xml:space="preserve">Dockerfile.prod, Sequelize + sharp.</t>
  </si>
  <si>
    <t xml:space="preserve">ai-worker FastAPI (Pillow/numpy)</t>
  </si>
  <si>
    <t xml:space="preserve">Procesa imágenes en CPU, sin GPU.</t>
  </si>
  <si>
    <t xml:space="preserve">PostgreSQL 16 + pgvector</t>
  </si>
  <si>
    <t xml:space="preserve">BD + embeddings + índices HNSW.</t>
  </si>
  <si>
    <t xml:space="preserve">Redis 7</t>
  </si>
  <si>
    <t xml:space="preserve">Caché y colas.</t>
  </si>
  <si>
    <t xml:space="preserve">Frontend Flutter Web (nginx)</t>
  </si>
  <si>
    <t xml:space="preserve">Build estático servido por nginx.</t>
  </si>
  <si>
    <t xml:space="preserve">Admin dashboard</t>
  </si>
  <si>
    <t xml:space="preserve">Uso interno esporádico.</t>
  </si>
  <si>
    <t xml:space="preserve">TOTAL SERVICIOS</t>
  </si>
  <si>
    <t xml:space="preserve">Egress (API + estáticos, 40 GB/mes)</t>
  </si>
  <si>
    <t xml:space="preserve">SUBTOTAL PRODUCCIÓN</t>
  </si>
  <si>
    <t xml:space="preserve">Staging (clon de producción)</t>
  </si>
  <si>
    <t xml:space="preserve">Varios (dominio, R2, Sentry)</t>
  </si>
  <si>
    <t xml:space="preserve">TOTAL INFRAESTRUCTURA / mes</t>
  </si>
  <si>
    <t xml:space="preserve">Supuestos de tamaño por servicio</t>
  </si>
  <si>
    <t xml:space="preserve">Los promedios de vCPU/RAM son estimaciones de dimensionamiento para 500 usuarios activos al mes, no lecturas del dashboard de Railway. Con 500 usuarios el consumo es mayormente línea base (contenedores encendidos), por eso el costo de infraestructura es casi fijo y no escala 1:1 con las personas.</t>
  </si>
  <si>
    <t xml:space="preserve">Sensibilidad · qué mueve el costo</t>
  </si>
  <si>
    <t xml:space="preserve">Cada tabla aísla una palanca manteniendo el resto en el escenario BASE.</t>
  </si>
  <si>
    <t xml:space="preserve">A. Unidades YouCam por escaneo (precio 0,048/unidad, 750 escaneos/mes)</t>
  </si>
  <si>
    <t xml:space="preserve">Configuración</t>
  </si>
  <si>
    <t xml:space="preserve">Unidades</t>
  </si>
  <si>
    <t xml:space="preserve">USD / escaneo</t>
  </si>
  <si>
    <t xml:space="preserve">USD / mes (solo YouCam)</t>
  </si>
  <si>
    <t xml:space="preserve">Ahorro vs actual</t>
  </si>
  <si>
    <t xml:space="preserve">1–4 concerns (SD)</t>
  </si>
  <si>
    <t xml:space="preserve">5–8 concerns (SD)</t>
  </si>
  <si>
    <t xml:space="preserve">9–12 concerns (SD)</t>
  </si>
  <si>
    <t xml:space="preserve">13–16 concerns (SD)</t>
  </si>
  <si>
    <t xml:space="preserve">13–16 concerns (HD) — actual</t>
  </si>
  <si>
    <t xml:space="preserve">16 acciones HD + reintentos</t>
  </si>
  <si>
    <t xml:space="preserve">B. Escaneos por mes (resto en BASE)</t>
  </si>
  <si>
    <t xml:space="preserve">Escaneos / mes</t>
  </si>
  <si>
    <t xml:space="preserve">Costo variable IA</t>
  </si>
  <si>
    <t xml:space="preserve">Chat + forma facial</t>
  </si>
  <si>
    <t xml:space="preserve">Infraestructura</t>
  </si>
  <si>
    <t xml:space="preserve">TOTAL</t>
  </si>
  <si>
    <t xml:space="preserve">C. Mensajes de chat por persona activa / mes</t>
  </si>
  <si>
    <t xml:space="preserve">Mensajes / persona</t>
  </si>
  <si>
    <t xml:space="preserve">Costo chat / mes</t>
  </si>
  <si>
    <t xml:space="preserve">Resto IA</t>
  </si>
  <si>
    <t xml:space="preserve">D. Precio unitario YouCam (22 unidades × 750 escaneos)</t>
  </si>
  <si>
    <t xml:space="preserve">Modalidad</t>
  </si>
  <si>
    <t xml:space="preserve">USD / unidad</t>
  </si>
  <si>
    <t xml:space="preserve">USD / mes</t>
  </si>
  <si>
    <t xml:space="preserve">Diferencia</t>
  </si>
  <si>
    <t xml:space="preserve">Suscripción 10.000+ unidades</t>
  </si>
  <si>
    <t xml:space="preserve">Suscripción 500+ unidades</t>
  </si>
  <si>
    <t xml:space="preserve">Pay-as-you-go</t>
  </si>
  <si>
    <t xml:space="preserve">Fuentes, evidencia y límites del modelo</t>
  </si>
  <si>
    <t xml:space="preserve">Precios consultados el 25-oct-2026. Los precios de nube y de API cambian: revalidar antes de decidir.</t>
  </si>
  <si>
    <t xml:space="preserve">Tema</t>
  </si>
  <si>
    <t xml:space="preserve">Referencia</t>
  </si>
  <si>
    <t xml:space="preserve">Qué aporta</t>
  </si>
  <si>
    <t xml:space="preserve">Railway · precios</t>
  </si>
  <si>
    <t xml:space="preserve">https://railway.com/pricing</t>
  </si>
  <si>
    <t xml:space="preserve">CPU USD 20/vCPU-mes, RAM USD 10/GB-mes, volumen USD 0,15/GB-mes, egress USD 0,05/GB, Pro USD 20 con USD 20 de uso incluido.</t>
  </si>
  <si>
    <t xml:space="preserve">YouCam API · precios</t>
  </si>
  <si>
    <t xml:space="preserve">https://yce.perfectcorp.com/ai-api/api-pricing</t>
  </si>
  <si>
    <t xml:space="preserve">Suscripción USD 0,048/unidad (500+), PAYG USD 0,055. 13–16 concerns: 22 unidades en HD.</t>
  </si>
  <si>
    <t xml:space="preserve">Gemini API · precios</t>
  </si>
  <si>
    <t xml:space="preserve">https://ai.google.dev/gemini-api/docs/pricing</t>
  </si>
  <si>
    <t xml:space="preserve">Gemini 3.1 Flash-Lite: USD 0,125 / 1M entrada y USD 0,75 / 1M salida (hasta 31-dic-2026).</t>
  </si>
  <si>
    <t xml:space="preserve">DeepSeek API · precios</t>
  </si>
  <si>
    <t xml:space="preserve">https://api-docs.deepseek.com/quick_start/pricing</t>
  </si>
  <si>
    <t xml:space="preserve">deepseek-flash: USD 0,30 / 1M entrada y USD 1,20 / 1M salida en hora pico; mitad en off-peak.</t>
  </si>
  <si>
    <t xml:space="preserve">TRM Colombia</t>
  </si>
  <si>
    <t xml:space="preserve">https://www.larepublica.co/indicadores-economicos/mercado-cambiario/dolar</t>
  </si>
  <si>
    <t xml:space="preserve">TRM 24–26 oct 2026: $3.158,43 COP/USD (fuente Superfinanciera).</t>
  </si>
  <si>
    <t xml:space="preserve">Topología Railway</t>
  </si>
  <si>
    <t xml:space="preserve">railway.yml</t>
  </si>
  <si>
    <t xml:space="preserve">Servicios pgvector-db, redis, ai-worker, backend + entorno staging clonado.</t>
  </si>
  <si>
    <t xml:space="preserve">Escaneo facial</t>
  </si>
  <si>
    <t xml:space="preserve">backend/src/services/biometric/orchestrator.js</t>
  </si>
  <si>
    <t xml:space="preserve">Orden real: YouCam (rostro) + Gemini (manos) + DeepSeek (recomendación y VTO).</t>
  </si>
  <si>
    <t xml:space="preserve">16 acciones HD</t>
  </si>
  <si>
    <t xml:space="preserve">backend/src/services/biometric/youcam.client.js</t>
  </si>
  <si>
    <t xml:space="preserve">SKIN_ANALYSIS_ACTIONS: 16 acciones HD, HD y SD no se mezclan.</t>
  </si>
  <si>
    <t xml:space="preserve">Chat con RAG</t>
  </si>
  <si>
    <t xml:space="preserve">backend/src/config/ragConfig.js</t>
  </si>
  <si>
    <t xml:space="preserve">topK = 5 documentos por consulta; contexto de servicios cacheado.</t>
  </si>
  <si>
    <t xml:space="preserve">Afirmación a contrastar</t>
  </si>
  <si>
    <t xml:space="preserve">GIA-14-I-REAL-COST.md</t>
  </si>
  <si>
    <t xml:space="preserve">Estima USD 0,04/persona/mes (YouCam 2 llamadas ≈ USD 0,02). No cuadra con 22 unidades por escaneo.</t>
  </si>
  <si>
    <t xml:space="preserve">Límites</t>
  </si>
  <si>
    <t xml:space="preserve">No incluye impuestos, comisiones de pasarela de pago, Firebase/Google Analytics, correo transaccional, builds de CI, egreso de video ni costos de soporte. Los promedios de vCPU/RAM de Railway son supuestos de dimensionamiento: reemplácelos por las métricas reales del dashboard para convertir esta simulación en un pronóstico.</t>
  </si>
</sst>
</file>

<file path=xl/styles.xml><?xml version="1.0" encoding="utf-8"?>
<styleSheet xmlns="http://schemas.openxmlformats.org/spreadsheetml/2006/main">
  <numFmts count="9">
    <numFmt numFmtId="164" formatCode="General"/>
    <numFmt numFmtId="165" formatCode="#,##0"/>
    <numFmt numFmtId="166" formatCode="\$#,##0.00"/>
    <numFmt numFmtId="167" formatCode="0.0%"/>
    <numFmt numFmtId="168" formatCode="#,##0.00"/>
    <numFmt numFmtId="169" formatCode="\$#,##0"/>
    <numFmt numFmtId="170" formatCode="0.0"/>
    <numFmt numFmtId="171" formatCode="0.000"/>
    <numFmt numFmtId="172" formatCode="0.00"/>
  </numFmts>
  <fonts count="16">
    <font>
      <sz val="11"/>
      <color theme="1"/>
      <name val="Calibri"/>
      <family val="2"/>
      <charset val="1"/>
    </font>
    <font>
      <sz val="10"/>
      <name val="Arial"/>
      <family val="0"/>
    </font>
    <font>
      <sz val="10"/>
      <name val="Arial"/>
      <family val="0"/>
    </font>
    <font>
      <sz val="10"/>
      <name val="Arial"/>
      <family val="0"/>
    </font>
    <font>
      <b val="true"/>
      <sz val="16"/>
      <color rgb="FFFFFFFF"/>
      <name val="Calibri"/>
      <family val="0"/>
      <charset val="1"/>
    </font>
    <font>
      <i val="true"/>
      <sz val="10"/>
      <color rgb="FF6B5B63"/>
      <name val="Calibri"/>
      <family val="0"/>
      <charset val="1"/>
    </font>
    <font>
      <b val="true"/>
      <sz val="11"/>
      <color rgb="FFFFFFFF"/>
      <name val="Calibri"/>
      <family val="0"/>
      <charset val="1"/>
    </font>
    <font>
      <sz val="10"/>
      <name val="Calibri"/>
      <family val="0"/>
      <charset val="1"/>
    </font>
    <font>
      <sz val="9"/>
      <color rgb="FF6B5B63"/>
      <name val="Calibri"/>
      <family val="0"/>
      <charset val="1"/>
    </font>
    <font>
      <b val="true"/>
      <sz val="10"/>
      <name val="Calibri"/>
      <family val="0"/>
      <charset val="1"/>
    </font>
    <font>
      <b val="true"/>
      <sz val="12"/>
      <color rgb="FF9B3A2E"/>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9B3A2E"/>
      <name val="Calibri"/>
      <family val="0"/>
      <charset val="1"/>
    </font>
    <font>
      <u val="single"/>
      <sz val="10"/>
      <color rgb="FF1F5C99"/>
      <name val="Calibri"/>
      <family val="0"/>
      <charset val="1"/>
    </font>
  </fonts>
  <fills count="7">
    <fill>
      <patternFill patternType="none"/>
    </fill>
    <fill>
      <patternFill patternType="gray125"/>
    </fill>
    <fill>
      <patternFill patternType="solid">
        <fgColor rgb="FF3B2A33"/>
        <bgColor rgb="FF333300"/>
      </patternFill>
    </fill>
    <fill>
      <patternFill patternType="solid">
        <fgColor rgb="FFC97B63"/>
        <bgColor rgb="FF969696"/>
      </patternFill>
    </fill>
    <fill>
      <patternFill patternType="solid">
        <fgColor rgb="FFF7F3F0"/>
        <bgColor rgb="FFFFFFFF"/>
      </patternFill>
    </fill>
    <fill>
      <patternFill patternType="solid">
        <fgColor rgb="FFEADFD8"/>
        <bgColor rgb="FFD9D9D9"/>
      </patternFill>
    </fill>
    <fill>
      <patternFill patternType="solid">
        <fgColor rgb="FFFFF2CC"/>
        <bgColor rgb="FFF7F3F0"/>
      </patternFill>
    </fill>
  </fills>
  <borders count="2">
    <border diagonalUp="false" diagonalDown="false">
      <left/>
      <right/>
      <top/>
      <bottom/>
      <diagonal/>
    </border>
    <border diagonalUp="false" diagonalDown="false">
      <left style="thin">
        <color rgb="FFD9CFC7"/>
      </left>
      <right style="thin">
        <color rgb="FFD9CFC7"/>
      </right>
      <top style="thin">
        <color rgb="FFD9CFC7"/>
      </top>
      <bottom style="thin">
        <color rgb="FFD9CF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4"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1" shrinkToFit="false"/>
      <protection locked="true" hidden="false"/>
    </xf>
    <xf numFmtId="166" fontId="7" fillId="4"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10" fillId="5" borderId="1" xfId="0" applyFont="true" applyBorder="true" applyAlignment="true" applyProtection="false">
      <alignment horizontal="center" vertical="bottom" textRotation="0" wrapText="false" indent="0" shrinkToFit="false"/>
      <protection locked="true" hidden="false"/>
    </xf>
    <xf numFmtId="166" fontId="9" fillId="4" borderId="1" xfId="0" applyFont="true" applyBorder="true" applyAlignment="true" applyProtection="false">
      <alignment horizontal="center" vertical="bottom" textRotation="0" wrapText="false" indent="0" shrinkToFit="false"/>
      <protection locked="true" hidden="false"/>
    </xf>
    <xf numFmtId="167" fontId="7" fillId="4" borderId="1" xfId="0" applyFont="true" applyBorder="true" applyAlignment="true" applyProtection="false">
      <alignment horizontal="center" vertical="bottom" textRotation="0" wrapText="false" indent="0" shrinkToFit="false"/>
      <protection locked="true" hidden="false"/>
    </xf>
    <xf numFmtId="164" fontId="6"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8" fontId="7" fillId="4" borderId="1" xfId="0" applyFont="true" applyBorder="true" applyAlignment="true" applyProtection="false">
      <alignment horizontal="right" vertical="bottom" textRotation="0" wrapText="false" indent="0" shrinkToFit="false"/>
      <protection locked="true" hidden="false"/>
    </xf>
    <xf numFmtId="169" fontId="10" fillId="5" borderId="1" xfId="0" applyFont="true" applyBorder="true" applyAlignment="true" applyProtection="false">
      <alignment horizontal="right" vertical="bottom" textRotation="0" wrapText="false" indent="0" shrinkToFit="false"/>
      <protection locked="true" hidden="false"/>
    </xf>
    <xf numFmtId="169" fontId="7" fillId="4" borderId="1" xfId="0" applyFont="true" applyBorder="true" applyAlignment="true" applyProtection="false">
      <alignment horizontal="right" vertical="bottom" textRotation="0" wrapText="false" indent="0" shrinkToFit="false"/>
      <protection locked="true" hidden="false"/>
    </xf>
    <xf numFmtId="169" fontId="9" fillId="4" borderId="1" xfId="0" applyFont="true" applyBorder="true" applyAlignment="true" applyProtection="false">
      <alignment horizontal="right" vertical="bottom" textRotation="0" wrapText="false" indent="0" shrinkToFit="false"/>
      <protection locked="true" hidden="false"/>
    </xf>
    <xf numFmtId="166" fontId="7" fillId="4" borderId="1" xfId="0" applyFont="true" applyBorder="true" applyAlignment="true" applyProtection="false">
      <alignment horizontal="right" vertical="bottom" textRotation="0" wrapText="false" indent="0" shrinkToFit="false"/>
      <protection locked="true" hidden="false"/>
    </xf>
    <xf numFmtId="164" fontId="7" fillId="4" borderId="1" xfId="0" applyFont="tru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7" fontId="0" fillId="4" borderId="1" xfId="0" applyFont="fals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5" fontId="9" fillId="6" borderId="1" xfId="0" applyFont="true" applyBorder="true" applyAlignment="true" applyProtection="false">
      <alignment horizontal="center" vertical="bottom" textRotation="0" wrapText="false" indent="0" shrinkToFit="false"/>
      <protection locked="true" hidden="false"/>
    </xf>
    <xf numFmtId="167" fontId="9" fillId="6" borderId="1" xfId="0" applyFont="true" applyBorder="tru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center" vertical="bottom" textRotation="0" wrapText="false" indent="0" shrinkToFit="false"/>
      <protection locked="true" hidden="false"/>
    </xf>
    <xf numFmtId="171" fontId="9" fillId="6" borderId="1" xfId="0" applyFont="true" applyBorder="true" applyAlignment="true" applyProtection="false">
      <alignment horizontal="center" vertical="bottom" textRotation="0" wrapText="false" indent="0" shrinkToFit="false"/>
      <protection locked="true" hidden="false"/>
    </xf>
    <xf numFmtId="172" fontId="9" fillId="6" borderId="1" xfId="0" applyFont="true" applyBorder="true" applyAlignment="true" applyProtection="false">
      <alignment horizontal="center" vertical="bottom" textRotation="0" wrapText="false" indent="0" shrinkToFit="false"/>
      <protection locked="true" hidden="false"/>
    </xf>
    <xf numFmtId="169" fontId="9" fillId="6" borderId="1" xfId="0" applyFont="true" applyBorder="true" applyAlignment="true" applyProtection="false">
      <alignment horizontal="center" vertical="bottom" textRotation="0" wrapText="false" indent="0" shrinkToFit="false"/>
      <protection locked="true" hidden="false"/>
    </xf>
    <xf numFmtId="168" fontId="9" fillId="6" borderId="1"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4" borderId="1" xfId="0" applyFont="true" applyBorder="true" applyAlignment="false" applyProtection="false">
      <alignment horizontal="general" vertical="bottom" textRotation="0" wrapText="false" indent="0" shrinkToFit="false"/>
      <protection locked="true" hidden="false"/>
    </xf>
    <xf numFmtId="166" fontId="14" fillId="4" borderId="1" xfId="0" applyFont="true" applyBorder="true" applyAlignment="false" applyProtection="false">
      <alignment horizontal="general" vertical="bottom" textRotation="0" wrapText="false" indent="0" shrinkToFit="false"/>
      <protection locked="true" hidden="false"/>
    </xf>
    <xf numFmtId="166" fontId="7" fillId="4" borderId="1" xfId="0" applyFont="true" applyBorder="true" applyAlignment="false" applyProtection="false">
      <alignment horizontal="general" vertical="bottom" textRotation="0" wrapText="false" indent="0" shrinkToFit="false"/>
      <protection locked="true" hidden="false"/>
    </xf>
    <xf numFmtId="166" fontId="9" fillId="5"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72" fontId="0" fillId="4" borderId="1" xfId="0" applyFont="false" applyBorder="true" applyAlignment="false" applyProtection="false">
      <alignment horizontal="general" vertical="bottom" textRotation="0" wrapText="false" indent="0" shrinkToFit="false"/>
      <protection locked="true" hidden="false"/>
    </xf>
    <xf numFmtId="166" fontId="0" fillId="4" borderId="1" xfId="0" applyFont="false" applyBorder="true" applyAlignment="false" applyProtection="false">
      <alignment horizontal="general" vertical="bottom" textRotation="0" wrapText="false" indent="0" shrinkToFit="false"/>
      <protection locked="true" hidden="false"/>
    </xf>
    <xf numFmtId="165" fontId="0" fillId="4" borderId="1" xfId="0" applyFont="false" applyBorder="true" applyAlignment="false" applyProtection="false">
      <alignment horizontal="general" vertical="bottom" textRotation="0" wrapText="fals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14" fillId="4" borderId="1" xfId="0" applyFont="true" applyBorder="true" applyAlignment="false" applyProtection="false">
      <alignment horizontal="general" vertical="bottom" textRotation="0" wrapText="false" indent="0" shrinkToFit="false"/>
      <protection locked="true" hidden="false"/>
    </xf>
    <xf numFmtId="171" fontId="0" fillId="4" borderId="1" xfId="0" applyFont="fals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CFC7"/>
      <rgbColor rgb="FF878787"/>
      <rgbColor rgb="FF9999FF"/>
      <rgbColor rgb="FF993366"/>
      <rgbColor rgb="FFFFF2CC"/>
      <rgbColor rgb="FFF7F3F0"/>
      <rgbColor rgb="FF660066"/>
      <rgbColor rgb="FFC97B63"/>
      <rgbColor rgb="FF1F5C99"/>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EADFD8"/>
      <rgbColor rgb="FF3366FF"/>
      <rgbColor rgb="FF33CCCC"/>
      <rgbColor rgb="FF99CC00"/>
      <rgbColor rgb="FFFFCC00"/>
      <rgbColor rgb="FFFF9900"/>
      <rgbColor rgb="FFFF6600"/>
      <rgbColor rgb="FF6B5B63"/>
      <rgbColor rgb="FF969696"/>
      <rgbColor rgb="FF003366"/>
      <rgbColor rgb="FF339966"/>
      <rgbColor rgb="FF003300"/>
      <rgbColor rgb="FF333300"/>
      <rgbColor rgb="FF9B3A2E"/>
      <rgbColor rgb="FF993366"/>
      <rgbColor rgb="FF333399"/>
      <rgbColor rgb="FF3B2A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Costo mensual por componente (USD)</a:t>
            </a:r>
          </a:p>
        </c:rich>
      </c:tx>
      <c:overlay val="0"/>
      <c:spPr>
        <a:noFill/>
        <a:ln w="0">
          <a:noFill/>
        </a:ln>
      </c:spPr>
    </c:title>
    <c:autoTitleDeleted val="0"/>
    <c:plotArea>
      <c:barChart>
        <c:barDir val="col"/>
        <c:grouping val="stacked"/>
        <c:varyColors val="0"/>
        <c:ser>
          <c:idx val="0"/>
          <c:order val="0"/>
          <c:tx>
            <c:strRef>
              <c:f>Resumen!A6</c:f>
              <c:strCache>
                <c:ptCount val="1"/>
                <c:pt idx="0">
                  <c:v>Costo de IA y APIs</c:v>
                </c:pt>
              </c:strCache>
            </c:strRef>
          </c:tx>
          <c:spPr>
            <a:solidFill>
              <a:srgbClr val="c97b63"/>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Resumen!$B$3:$D$3</c:f>
              <c:strCache>
                <c:ptCount val="3"/>
                <c:pt idx="0">
                  <c:v>BAJO</c:v>
                </c:pt>
                <c:pt idx="1">
                  <c:v>BASE</c:v>
                </c:pt>
                <c:pt idx="2">
                  <c:v>ALTO</c:v>
                </c:pt>
              </c:strCache>
            </c:strRef>
          </c:cat>
          <c:val>
            <c:numRef>
              <c:f>Resumen!$B$6:$D$6</c:f>
              <c:numCache>
                <c:formatCode>\$#,##0.00</c:formatCode>
                <c:ptCount val="3"/>
                <c:pt idx="0">
                  <c:v>319.44</c:v>
                </c:pt>
                <c:pt idx="1">
                  <c:v>803.773125</c:v>
                </c:pt>
                <c:pt idx="2">
                  <c:v>1348.259375</c:v>
                </c:pt>
              </c:numCache>
            </c:numRef>
          </c:val>
        </c:ser>
        <c:ser>
          <c:idx val="1"/>
          <c:order val="1"/>
          <c:tx>
            <c:strRef>
              <c:f>Resumen!A7</c:f>
              <c:strCache>
                <c:ptCount val="1"/>
                <c:pt idx="0">
                  <c:v>Infraestructura Railway</c:v>
                </c:pt>
              </c:strCache>
            </c:strRef>
          </c:tx>
          <c:spPr>
            <a:solidFill>
              <a:srgbClr val="3b2a33"/>
            </a:solidFill>
            <a:ln w="0">
              <a:noFill/>
            </a:ln>
          </c:spPr>
          <c:invertIfNegative val="0"/>
          <c:dLbls>
            <c:txPr>
              <a:bodyPr wrap="none"/>
              <a:lstStyle/>
              <a:p>
                <a:pPr>
                  <a:defRPr b="0" sz="1000" strike="noStrike" u="none">
                    <a:uFillTx/>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Resumen!$B$3:$D$3</c:f>
              <c:strCache>
                <c:ptCount val="3"/>
                <c:pt idx="0">
                  <c:v>BAJO</c:v>
                </c:pt>
                <c:pt idx="1">
                  <c:v>BASE</c:v>
                </c:pt>
                <c:pt idx="2">
                  <c:v>ALTO</c:v>
                </c:pt>
              </c:strCache>
            </c:strRef>
          </c:cat>
          <c:val>
            <c:numRef>
              <c:f>Resumen!$B$7:$D$7</c:f>
              <c:numCache>
                <c:formatCode>\$#,##0.00</c:formatCode>
                <c:ptCount val="3"/>
                <c:pt idx="0">
                  <c:v>71.45</c:v>
                </c:pt>
                <c:pt idx="1">
                  <c:v>71.45</c:v>
                </c:pt>
                <c:pt idx="2">
                  <c:v>71.45</c:v>
                </c:pt>
              </c:numCache>
            </c:numRef>
          </c:val>
        </c:ser>
        <c:gapWidth val="150"/>
        <c:overlap val="100"/>
        <c:axId val="92415913"/>
        <c:axId val="89712417"/>
      </c:barChart>
      <c:catAx>
        <c:axId val="92415913"/>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Escenario</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89712417"/>
        <c:crosses val="autoZero"/>
        <c:auto val="1"/>
        <c:lblAlgn val="ctr"/>
        <c:lblOffset val="100"/>
        <c:noMultiLvlLbl val="0"/>
      </c:catAx>
      <c:valAx>
        <c:axId val="89712417"/>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USD / mes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92415913"/>
        <c:crosses val="autoZero"/>
        <c:crossBetween val="between"/>
      </c:valAx>
      <c:spPr>
        <a:noFill/>
        <a:ln w="0">
          <a:noFill/>
        </a:ln>
      </c:spPr>
    </c:plotArea>
    <c:legend>
      <c:legendPos val="b"/>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sz="1300" strike="noStrike" u="none">
                <a:uFillTx/>
                <a:latin typeface="Arial"/>
              </a:defRPr>
            </a:pPr>
            <a:r>
              <a:rPr b="1" sz="1800" strike="noStrike" u="none">
                <a:solidFill>
                  <a:srgbClr val="000000"/>
                </a:solidFill>
                <a:uFillTx/>
                <a:latin typeface="Calibri"/>
              </a:rPr>
              <a:t>Costo total vs escaneos por mes</a:t>
            </a:r>
          </a:p>
        </c:rich>
      </c:tx>
      <c:overlay val="0"/>
      <c:spPr>
        <a:noFill/>
        <a:ln w="0">
          <a:noFill/>
        </a:ln>
      </c:spPr>
    </c:title>
    <c:autoTitleDeleted val="0"/>
    <c:plotArea>
      <c:lineChart>
        <c:grouping val="standard"/>
        <c:varyColors val="0"/>
        <c:ser>
          <c:idx val="0"/>
          <c:order val="0"/>
          <c:tx>
            <c:strRef>
              <c:f>Sensibilidad!E13</c:f>
              <c:strCache>
                <c:ptCount val="1"/>
                <c:pt idx="0">
                  <c:v>TOTAL</c:v>
                </c:pt>
              </c:strCache>
            </c:strRef>
          </c:tx>
          <c:spPr>
            <a:solidFill>
              <a:srgbClr val="c97b63"/>
            </a:solidFill>
            <a:ln w="28080">
              <a:solidFill>
                <a:srgbClr val="c97b63"/>
              </a:solidFill>
              <a:round/>
            </a:ln>
          </c:spPr>
          <c:marker>
            <c:symbol val="none"/>
          </c:marker>
          <c:dLbls>
            <c:txPr>
              <a:bodyPr wrap="none"/>
              <a:lstStyle/>
              <a:p>
                <a:pPr>
                  <a:defRPr b="0" sz="1000" strike="noStrike" u="none">
                    <a:uFillTx/>
                    <a:latin typeface="Arial"/>
                  </a:defRPr>
                </a:pPr>
              </a:p>
            </c:txPr>
            <c:showLegendKey val="0"/>
            <c:showVal val="0"/>
            <c:showCatName val="0"/>
            <c:showSerName val="0"/>
            <c:showPercent val="0"/>
            <c:separator> </c:separator>
            <c:showLeaderLines val="1"/>
            <c:leaderLines>
              <c:spPr>
                <a:ln w="28080">
                  <a:solidFill>
                    <a:srgbClr val="000000"/>
                  </a:solidFill>
                </a:ln>
              </c:spPr>
            </c:leaderLines>
            <c:extLst>
              <c:ext xmlns:c15="http://schemas.microsoft.com/office/drawing/2012/chart" uri="{CE6537A1-D6FC-4f65-9D91-7224C49458BB}">
                <c15:showLeaderLines val="1"/>
              </c:ext>
            </c:extLst>
          </c:dLbls>
          <c:cat>
            <c:strRef>
              <c:f>Sensibilidad!$A$14:$A$19</c:f>
              <c:strCache>
                <c:ptCount val="6"/>
                <c:pt idx="0">
                  <c:v>250</c:v>
                </c:pt>
                <c:pt idx="1">
                  <c:v>500</c:v>
                </c:pt>
                <c:pt idx="2">
                  <c:v>750</c:v>
                </c:pt>
                <c:pt idx="3">
                  <c:v>1.000</c:v>
                </c:pt>
                <c:pt idx="4">
                  <c:v>1.500</c:v>
                </c:pt>
                <c:pt idx="5">
                  <c:v>2.000</c:v>
                </c:pt>
              </c:strCache>
            </c:strRef>
          </c:cat>
          <c:val>
            <c:numRef>
              <c:f>Sensibilidad!$E$14:$E$19</c:f>
              <c:numCache>
                <c:formatCode>\$#,##0.00</c:formatCode>
                <c:ptCount val="6"/>
                <c:pt idx="0">
                  <c:v>346.396875</c:v>
                </c:pt>
                <c:pt idx="1">
                  <c:v>610.81</c:v>
                </c:pt>
                <c:pt idx="2">
                  <c:v>875.223125</c:v>
                </c:pt>
                <c:pt idx="3">
                  <c:v>1139.63625</c:v>
                </c:pt>
                <c:pt idx="4">
                  <c:v>1668.4625</c:v>
                </c:pt>
                <c:pt idx="5">
                  <c:v>2197.28875</c:v>
                </c:pt>
              </c:numCache>
            </c:numRef>
          </c:val>
          <c:smooth val="1"/>
        </c:ser>
        <c:hiLowLines>
          <c:spPr>
            <a:ln w="0">
              <a:noFill/>
            </a:ln>
          </c:spPr>
        </c:hiLowLines>
        <c:marker val="0"/>
        <c:axId val="49429537"/>
        <c:axId val="53510418"/>
      </c:lineChart>
      <c:catAx>
        <c:axId val="49429537"/>
        <c:scaling>
          <c:orientation val="minMax"/>
        </c:scaling>
        <c:delete val="0"/>
        <c:axPos val="b"/>
        <c:title>
          <c:tx>
            <c:rich>
              <a:bodyPr rot="0"/>
              <a:lstStyle/>
              <a:p>
                <a:pPr>
                  <a:defRPr b="0" sz="1300" strike="noStrike" u="none">
                    <a:uFillTx/>
                    <a:latin typeface="Arial"/>
                  </a:defRPr>
                </a:pPr>
                <a:r>
                  <a:rPr b="1" sz="1000" strike="noStrike" u="none">
                    <a:solidFill>
                      <a:srgbClr val="000000"/>
                    </a:solidFill>
                    <a:uFillTx/>
                    <a:latin typeface="Calibri"/>
                  </a:rPr>
                  <a:t>Escaneos / mes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53510418"/>
        <c:crosses val="autoZero"/>
        <c:auto val="1"/>
        <c:lblAlgn val="ctr"/>
        <c:lblOffset val="100"/>
        <c:noMultiLvlLbl val="0"/>
      </c:catAx>
      <c:valAx>
        <c:axId val="53510418"/>
        <c:scaling>
          <c:orientation val="minMax"/>
        </c:scaling>
        <c:delete val="0"/>
        <c:axPos val="l"/>
        <c:majorGridlines>
          <c:spPr>
            <a:ln w="9360">
              <a:solidFill>
                <a:srgbClr val="878787"/>
              </a:solidFill>
              <a:round/>
            </a:ln>
          </c:spPr>
        </c:majorGridlines>
        <c:title>
          <c:tx>
            <c:rich>
              <a:bodyPr rot="-5400000"/>
              <a:lstStyle/>
              <a:p>
                <a:pPr>
                  <a:defRPr b="0" sz="1300" strike="noStrike" u="none">
                    <a:uFillTx/>
                    <a:latin typeface="Arial"/>
                  </a:defRPr>
                </a:pPr>
                <a:r>
                  <a:rPr b="1" sz="1000" strike="noStrike" u="none">
                    <a:solidFill>
                      <a:srgbClr val="000000"/>
                    </a:solidFill>
                    <a:uFillTx/>
                    <a:latin typeface="Calibri"/>
                  </a:rPr>
                  <a:t>USD / mes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trike="noStrike" u="none">
                <a:solidFill>
                  <a:srgbClr val="000000"/>
                </a:solidFill>
                <a:uFillTx/>
                <a:latin typeface="Calibri"/>
              </a:defRPr>
            </a:pPr>
          </a:p>
        </c:txPr>
        <c:crossAx val="49429537"/>
        <c:crosses val="autoZero"/>
        <c:crossBetween val="between"/>
      </c:valAx>
      <c:spPr>
        <a:noFill/>
        <a:ln w="0">
          <a:noFill/>
        </a:ln>
      </c:spPr>
    </c:plotArea>
    <c:legend>
      <c:legendPos val="r"/>
      <c:overlay val="0"/>
      <c:spPr>
        <a:noFill/>
        <a:ln w="0">
          <a:noFill/>
        </a:ln>
      </c:spPr>
      <c:txPr>
        <a:bodyPr/>
        <a:lstStyle/>
        <a:p>
          <a:pPr>
            <a:defRPr b="0" sz="1000" strike="noStrike" u="none">
              <a:solidFill>
                <a:srgbClr val="000000"/>
              </a:solidFill>
              <a:uFillTx/>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17</xdr:row>
      <xdr:rowOff>0</xdr:rowOff>
    </xdr:from>
    <xdr:to>
      <xdr:col>4</xdr:col>
      <xdr:colOff>269280</xdr:colOff>
      <xdr:row>31</xdr:row>
      <xdr:rowOff>32760</xdr:rowOff>
    </xdr:to>
    <xdr:graphicFrame>
      <xdr:nvGraphicFramePr>
        <xdr:cNvPr id="0" name="Chart 1"/>
        <xdr:cNvGraphicFramePr/>
      </xdr:nvGraphicFramePr>
      <xdr:xfrm>
        <a:off x="0" y="3781440"/>
        <a:ext cx="61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0</xdr:colOff>
      <xdr:row>12</xdr:row>
      <xdr:rowOff>0</xdr:rowOff>
    </xdr:from>
    <xdr:to>
      <xdr:col>14</xdr:col>
      <xdr:colOff>41760</xdr:colOff>
      <xdr:row>25</xdr:row>
      <xdr:rowOff>21960</xdr:rowOff>
    </xdr:to>
    <xdr:graphicFrame>
      <xdr:nvGraphicFramePr>
        <xdr:cNvPr id="1" name="Chart 1"/>
        <xdr:cNvGraphicFramePr/>
      </xdr:nvGraphicFramePr>
      <xdr:xfrm>
        <a:off x="8333280" y="2828880"/>
        <a:ext cx="467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hyperlink" Target="https://railway.com/pricing" TargetMode="External"/><Relationship Id="rId2" Type="http://schemas.openxmlformats.org/officeDocument/2006/relationships/hyperlink" Target="https://yce.perfectcorp.com/ai-api/api-pricing" TargetMode="External"/><Relationship Id="rId3" Type="http://schemas.openxmlformats.org/officeDocument/2006/relationships/hyperlink" Target="https://ai.google.dev/gemini-api/docs/pricing" TargetMode="External"/><Relationship Id="rId4" Type="http://schemas.openxmlformats.org/officeDocument/2006/relationships/hyperlink" Target="https://api-docs.deepseek.com/quick_start/pricing" TargetMode="External"/><Relationship Id="rId5" Type="http://schemas.openxmlformats.org/officeDocument/2006/relationships/hyperlink" Target="https://www.larepublica.co/indicadores-economicos/mercado-cambiario/dola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2265625" defaultRowHeight="15" zeroHeight="false" outlineLevelRow="0" outlineLevelCol="0"/>
  <cols>
    <col collapsed="false" customWidth="true" hidden="false" outlineLevel="0" max="1" min="1" style="0" width="38"/>
    <col collapsed="false" customWidth="true" hidden="false" outlineLevel="0" max="4" min="2" style="0" width="15"/>
    <col collapsed="false" customWidth="true" hidden="false" outlineLevel="0" max="5" min="5" style="0" width="42"/>
  </cols>
  <sheetData>
    <row r="1" customFormat="false" ht="30" hidden="false" customHeight="true" outlineLevel="0" collapsed="false">
      <c r="A1" s="1" t="s">
        <v>0</v>
      </c>
      <c r="B1" s="1"/>
      <c r="C1" s="1"/>
      <c r="D1" s="1"/>
      <c r="E1" s="1"/>
    </row>
    <row r="2" customFormat="false" ht="27.75" hidden="false" customHeight="true" outlineLevel="0" collapsed="false">
      <c r="A2" s="2" t="s">
        <v>1</v>
      </c>
      <c r="B2" s="2"/>
      <c r="C2" s="2"/>
      <c r="D2" s="2"/>
      <c r="E2" s="2"/>
    </row>
    <row r="3" customFormat="false" ht="30" hidden="false" customHeight="true" outlineLevel="0" collapsed="false">
      <c r="A3" s="3" t="s">
        <v>2</v>
      </c>
      <c r="B3" s="3" t="s">
        <v>3</v>
      </c>
      <c r="C3" s="3" t="s">
        <v>4</v>
      </c>
      <c r="D3" s="3" t="s">
        <v>5</v>
      </c>
      <c r="E3" s="3" t="s">
        <v>6</v>
      </c>
    </row>
    <row r="4" customFormat="false" ht="15" hidden="false" customHeight="false" outlineLevel="0" collapsed="false">
      <c r="A4" s="4" t="s">
        <v>7</v>
      </c>
      <c r="B4" s="5" t="n">
        <f aca="false">'Costos IA'!C15</f>
        <v>300</v>
      </c>
      <c r="C4" s="5" t="n">
        <f aca="false">'Costos IA'!D15</f>
        <v>500</v>
      </c>
      <c r="D4" s="5" t="n">
        <f aca="false">'Costos IA'!E15</f>
        <v>500</v>
      </c>
      <c r="E4" s="6" t="s">
        <v>8</v>
      </c>
    </row>
    <row r="5" customFormat="false" ht="15" hidden="false" customHeight="false" outlineLevel="0" collapsed="false">
      <c r="A5" s="4" t="s">
        <v>9</v>
      </c>
      <c r="B5" s="5" t="n">
        <f aca="false">'Costos IA'!C4</f>
        <v>300</v>
      </c>
      <c r="C5" s="5" t="n">
        <f aca="false">'Costos IA'!D4</f>
        <v>750</v>
      </c>
      <c r="D5" s="5" t="n">
        <f aca="false">'Costos IA'!E4</f>
        <v>1250</v>
      </c>
      <c r="E5" s="6"/>
    </row>
    <row r="6" customFormat="false" ht="15" hidden="false" customHeight="false" outlineLevel="0" collapsed="false">
      <c r="A6" s="4" t="s">
        <v>10</v>
      </c>
      <c r="B6" s="7" t="n">
        <f aca="false">'Costos IA'!C12</f>
        <v>319.44</v>
      </c>
      <c r="C6" s="7" t="n">
        <f aca="false">'Costos IA'!D12</f>
        <v>803.773125</v>
      </c>
      <c r="D6" s="7" t="n">
        <f aca="false">'Costos IA'!E12</f>
        <v>1348.259375</v>
      </c>
      <c r="E6" s="6" t="s">
        <v>11</v>
      </c>
    </row>
    <row r="7" customFormat="false" ht="15" hidden="false" customHeight="false" outlineLevel="0" collapsed="false">
      <c r="A7" s="4" t="s">
        <v>12</v>
      </c>
      <c r="B7" s="7" t="n">
        <f aca="false">'Infra Railway'!$H$15</f>
        <v>71.45</v>
      </c>
      <c r="C7" s="7" t="n">
        <f aca="false">'Infra Railway'!$H$15</f>
        <v>71.45</v>
      </c>
      <c r="D7" s="7" t="n">
        <f aca="false">'Infra Railway'!$H$15</f>
        <v>71.45</v>
      </c>
      <c r="E7" s="6" t="s">
        <v>13</v>
      </c>
    </row>
    <row r="8" customFormat="false" ht="15" hidden="false" customHeight="false" outlineLevel="0" collapsed="false">
      <c r="A8" s="8" t="s">
        <v>14</v>
      </c>
      <c r="B8" s="9" t="n">
        <f aca="false">B6+B7</f>
        <v>390.89</v>
      </c>
      <c r="C8" s="9" t="n">
        <f aca="false">C6+C7</f>
        <v>875.223125</v>
      </c>
      <c r="D8" s="9" t="n">
        <f aca="false">D6+D7</f>
        <v>1419.709375</v>
      </c>
      <c r="E8" s="6"/>
    </row>
    <row r="9" customFormat="false" ht="15" hidden="false" customHeight="false" outlineLevel="0" collapsed="false">
      <c r="A9" s="8" t="s">
        <v>15</v>
      </c>
      <c r="B9" s="10" t="n">
        <f aca="false">B8/B4</f>
        <v>1.30296666666667</v>
      </c>
      <c r="C9" s="10" t="n">
        <f aca="false">C8/C4</f>
        <v>1.75044625</v>
      </c>
      <c r="D9" s="10" t="n">
        <f aca="false">D8/D4</f>
        <v>2.83941875</v>
      </c>
      <c r="E9" s="6"/>
    </row>
    <row r="10" customFormat="false" ht="15" hidden="false" customHeight="false" outlineLevel="0" collapsed="false">
      <c r="A10" s="4" t="s">
        <v>16</v>
      </c>
      <c r="B10" s="7" t="n">
        <f aca="false">B8/Supuestos!$C$4</f>
        <v>0.78178</v>
      </c>
      <c r="C10" s="7" t="n">
        <f aca="false">C8/Supuestos!$C$4</f>
        <v>1.75044625</v>
      </c>
      <c r="D10" s="7" t="n">
        <f aca="false">D8/Supuestos!$C$4</f>
        <v>2.83941875</v>
      </c>
      <c r="E10" s="6" t="s">
        <v>17</v>
      </c>
    </row>
    <row r="11" customFormat="false" ht="15" hidden="false" customHeight="false" outlineLevel="0" collapsed="false">
      <c r="A11" s="4" t="s">
        <v>18</v>
      </c>
      <c r="B11" s="11" t="n">
        <f aca="false">B6/B8</f>
        <v>0.817212003376909</v>
      </c>
      <c r="C11" s="11" t="n">
        <f aca="false">C6/C8</f>
        <v>0.918363674405884</v>
      </c>
      <c r="D11" s="11" t="n">
        <f aca="false">D6/D8</f>
        <v>0.949672798350014</v>
      </c>
      <c r="E11" s="6"/>
    </row>
    <row r="12" customFormat="false" ht="15" hidden="false" customHeight="false" outlineLevel="0" collapsed="false">
      <c r="A12" s="4" t="s">
        <v>19</v>
      </c>
      <c r="B12" s="11" t="n">
        <f aca="false">B7/B8</f>
        <v>0.182787996623091</v>
      </c>
      <c r="C12" s="11" t="n">
        <f aca="false">C7/C8</f>
        <v>0.0816363255941164</v>
      </c>
      <c r="D12" s="11" t="n">
        <f aca="false">D7/D8</f>
        <v>0.0503272016499856</v>
      </c>
      <c r="E12" s="6"/>
    </row>
    <row r="13" customFormat="false" ht="15" hidden="false" customHeight="false" outlineLevel="0" collapsed="false">
      <c r="A13" s="4" t="s">
        <v>20</v>
      </c>
      <c r="B13" s="7" t="n">
        <f aca="false">'Costos IA'!C6</f>
        <v>316.8</v>
      </c>
      <c r="C13" s="7" t="n">
        <f aca="false">'Costos IA'!D6</f>
        <v>792</v>
      </c>
      <c r="D13" s="7" t="n">
        <f aca="false">'Costos IA'!E6</f>
        <v>1320</v>
      </c>
      <c r="E13" s="6" t="s">
        <v>21</v>
      </c>
    </row>
    <row r="14" customFormat="false" ht="15" hidden="false" customHeight="false" outlineLevel="0" collapsed="false">
      <c r="A14" s="4" t="s">
        <v>22</v>
      </c>
      <c r="B14" s="5" t="n">
        <f aca="false">'Costos IA'!C5</f>
        <v>6600</v>
      </c>
      <c r="C14" s="5" t="n">
        <f aca="false">'Costos IA'!D5</f>
        <v>16500</v>
      </c>
      <c r="D14" s="5" t="n">
        <f aca="false">'Costos IA'!E5</f>
        <v>27500</v>
      </c>
      <c r="E14" s="6"/>
    </row>
    <row r="15" customFormat="false" ht="15" hidden="false" customHeight="false" outlineLevel="0" collapsed="false">
      <c r="A15" s="4" t="s">
        <v>23</v>
      </c>
      <c r="B15" s="7" t="n">
        <f aca="false">'Costos IA'!C13</f>
        <v>1.0648</v>
      </c>
      <c r="C15" s="7" t="n">
        <f aca="false">'Costos IA'!D13</f>
        <v>1.0716975</v>
      </c>
      <c r="D15" s="7" t="n">
        <f aca="false">'Costos IA'!E13</f>
        <v>1.0786075</v>
      </c>
      <c r="E15" s="6" t="s">
        <v>24</v>
      </c>
    </row>
    <row r="36" customFormat="false" ht="15" hidden="false" customHeight="false" outlineLevel="0" collapsed="false">
      <c r="A36" s="12" t="s">
        <v>25</v>
      </c>
      <c r="B36" s="12"/>
      <c r="C36" s="12"/>
      <c r="D36" s="12"/>
      <c r="E36" s="12"/>
    </row>
    <row r="37" customFormat="false" ht="15.75" hidden="false" customHeight="true" outlineLevel="0" collapsed="false">
      <c r="A37" s="13" t="s">
        <v>26</v>
      </c>
      <c r="B37" s="13"/>
      <c r="C37" s="13"/>
      <c r="D37" s="13"/>
      <c r="E37" s="13"/>
    </row>
    <row r="38" customFormat="false" ht="15.75" hidden="false" customHeight="true" outlineLevel="0" collapsed="false">
      <c r="A38" s="13"/>
      <c r="B38" s="13"/>
      <c r="C38" s="13"/>
      <c r="D38" s="13"/>
      <c r="E38" s="13"/>
    </row>
    <row r="39" customFormat="false" ht="15.75" hidden="false" customHeight="true" outlineLevel="0" collapsed="false">
      <c r="A39" s="13"/>
      <c r="B39" s="13"/>
      <c r="C39" s="13"/>
      <c r="D39" s="13"/>
      <c r="E39" s="13"/>
    </row>
    <row r="40" customFormat="false" ht="15.75" hidden="false" customHeight="true" outlineLevel="0" collapsed="false">
      <c r="A40" s="13"/>
      <c r="B40" s="13"/>
      <c r="C40" s="13"/>
      <c r="D40" s="13"/>
      <c r="E40" s="13"/>
    </row>
  </sheetData>
  <mergeCells count="4">
    <mergeCell ref="A1:E1"/>
    <mergeCell ref="A2:E2"/>
    <mergeCell ref="A36:E36"/>
    <mergeCell ref="A37:E40"/>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rowBreaks count="1" manualBreakCount="1">
    <brk id="17" man="true" max="16383" min="0"/>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265625" defaultRowHeight="15" zeroHeight="false" outlineLevelRow="0" outlineLevelCol="0"/>
  <cols>
    <col collapsed="false" customWidth="true" hidden="false" outlineLevel="0" max="1" min="1" style="0" width="38"/>
    <col collapsed="false" customWidth="true" hidden="false" outlineLevel="0" max="4" min="2" style="0" width="16"/>
    <col collapsed="false" customWidth="true" hidden="false" outlineLevel="0" max="5" min="5" style="0" width="40"/>
  </cols>
  <sheetData>
    <row r="1" customFormat="false" ht="30" hidden="false" customHeight="true" outlineLevel="0" collapsed="false">
      <c r="A1" s="1" t="s">
        <v>27</v>
      </c>
      <c r="B1" s="1"/>
      <c r="C1" s="1"/>
      <c r="D1" s="1"/>
      <c r="E1" s="1"/>
    </row>
    <row r="2" customFormat="false" ht="27.75" hidden="false" customHeight="true" outlineLevel="0" collapsed="false">
      <c r="A2" s="2" t="s">
        <v>28</v>
      </c>
      <c r="B2" s="2"/>
      <c r="C2" s="2"/>
      <c r="D2" s="2"/>
      <c r="E2" s="2"/>
    </row>
    <row r="4" customFormat="false" ht="30" hidden="false" customHeight="true" outlineLevel="0" collapsed="false">
      <c r="A4" s="3" t="s">
        <v>2</v>
      </c>
      <c r="B4" s="3" t="s">
        <v>3</v>
      </c>
      <c r="C4" s="3" t="s">
        <v>4</v>
      </c>
      <c r="D4" s="3" t="s">
        <v>5</v>
      </c>
      <c r="E4" s="3" t="s">
        <v>6</v>
      </c>
    </row>
    <row r="5" customFormat="false" ht="15" hidden="false" customHeight="false" outlineLevel="0" collapsed="false">
      <c r="A5" s="4" t="s">
        <v>29</v>
      </c>
      <c r="B5" s="14" t="n">
        <f aca="false">Supuestos!$C$33</f>
        <v>3158.43</v>
      </c>
      <c r="C5" s="14" t="n">
        <f aca="false">Supuestos!$C$33</f>
        <v>3158.43</v>
      </c>
      <c r="D5" s="14" t="n">
        <f aca="false">Supuestos!$C$33</f>
        <v>3158.43</v>
      </c>
      <c r="E5" s="6" t="s">
        <v>30</v>
      </c>
    </row>
    <row r="6" customFormat="false" ht="15" hidden="false" customHeight="false" outlineLevel="0" collapsed="false">
      <c r="A6" s="8" t="s">
        <v>31</v>
      </c>
      <c r="B6" s="15" t="n">
        <f aca="false">Resumen!B8*B$5</f>
        <v>1234598.7027</v>
      </c>
      <c r="C6" s="15" t="n">
        <f aca="false">Resumen!C8*C$5</f>
        <v>2764330.97469375</v>
      </c>
      <c r="D6" s="15" t="n">
        <f aca="false">Resumen!D8*D$5</f>
        <v>4484052.68128125</v>
      </c>
      <c r="E6" s="6" t="s">
        <v>32</v>
      </c>
    </row>
    <row r="7" customFormat="false" ht="15" hidden="false" customHeight="false" outlineLevel="0" collapsed="false">
      <c r="A7" s="4" t="s">
        <v>33</v>
      </c>
      <c r="B7" s="16" t="n">
        <f aca="false">Resumen!B6*B$5</f>
        <v>1008928.8792</v>
      </c>
      <c r="C7" s="16" t="n">
        <f aca="false">Resumen!C6*C$5</f>
        <v>2538661.15119375</v>
      </c>
      <c r="D7" s="16" t="n">
        <f aca="false">Resumen!D6*D$5</f>
        <v>4258382.85778125</v>
      </c>
      <c r="E7" s="6" t="s">
        <v>34</v>
      </c>
    </row>
    <row r="8" customFormat="false" ht="15" hidden="false" customHeight="false" outlineLevel="0" collapsed="false">
      <c r="A8" s="4" t="s">
        <v>35</v>
      </c>
      <c r="B8" s="16" t="n">
        <f aca="false">Resumen!B7*B$5</f>
        <v>225669.8235</v>
      </c>
      <c r="C8" s="16" t="n">
        <f aca="false">Resumen!C7*C$5</f>
        <v>225669.8235</v>
      </c>
      <c r="D8" s="16" t="n">
        <f aca="false">Resumen!D7*D$5</f>
        <v>225669.8235</v>
      </c>
      <c r="E8" s="6" t="s">
        <v>36</v>
      </c>
    </row>
    <row r="9" customFormat="false" ht="15" hidden="false" customHeight="false" outlineLevel="0" collapsed="false">
      <c r="A9" s="4" t="s">
        <v>37</v>
      </c>
      <c r="B9" s="16" t="n">
        <f aca="false">Resumen!B13*B$5</f>
        <v>1000590.624</v>
      </c>
      <c r="C9" s="16" t="n">
        <f aca="false">Resumen!C13*C$5</f>
        <v>2501476.56</v>
      </c>
      <c r="D9" s="16" t="n">
        <f aca="false">Resumen!D13*D$5</f>
        <v>4169127.6</v>
      </c>
      <c r="E9" s="6" t="s">
        <v>38</v>
      </c>
    </row>
    <row r="10" customFormat="false" ht="15" hidden="false" customHeight="false" outlineLevel="0" collapsed="false">
      <c r="A10" s="8" t="s">
        <v>39</v>
      </c>
      <c r="B10" s="17" t="n">
        <f aca="false">Resumen!B9*B$5</f>
        <v>4115.329009</v>
      </c>
      <c r="C10" s="17" t="n">
        <f aca="false">Resumen!C9*C$5</f>
        <v>5528.6619493875</v>
      </c>
      <c r="D10" s="17" t="n">
        <f aca="false">Resumen!D9*D$5</f>
        <v>8968.1053625625</v>
      </c>
      <c r="E10" s="6" t="s">
        <v>40</v>
      </c>
    </row>
    <row r="11" customFormat="false" ht="15" hidden="false" customHeight="false" outlineLevel="0" collapsed="false">
      <c r="A11" s="4" t="s">
        <v>41</v>
      </c>
      <c r="B11" s="16" t="n">
        <f aca="false">Resumen!B10*B$5</f>
        <v>2469.1974054</v>
      </c>
      <c r="C11" s="16" t="n">
        <f aca="false">Resumen!C10*C$5</f>
        <v>5528.6619493875</v>
      </c>
      <c r="D11" s="16" t="n">
        <f aca="false">Resumen!D10*D$5</f>
        <v>8968.1053625625</v>
      </c>
      <c r="E11" s="6" t="s">
        <v>40</v>
      </c>
    </row>
    <row r="12" customFormat="false" ht="15" hidden="false" customHeight="false" outlineLevel="0" collapsed="false">
      <c r="A12" s="4" t="s">
        <v>42</v>
      </c>
      <c r="B12" s="16" t="n">
        <f aca="false">Resumen!B15*B$5</f>
        <v>3363.096264</v>
      </c>
      <c r="C12" s="16" t="n">
        <f aca="false">Resumen!C15*C$5</f>
        <v>3384.881534925</v>
      </c>
      <c r="D12" s="16" t="n">
        <f aca="false">Resumen!D15*D$5</f>
        <v>3406.706286225</v>
      </c>
      <c r="E12" s="6" t="s">
        <v>43</v>
      </c>
    </row>
    <row r="13" customFormat="false" ht="15" hidden="false" customHeight="false" outlineLevel="0" collapsed="false">
      <c r="A13" s="4" t="s">
        <v>44</v>
      </c>
      <c r="B13" s="18" t="n">
        <f aca="false">Resumen!B15</f>
        <v>1.0648</v>
      </c>
      <c r="C13" s="18" t="n">
        <f aca="false">Resumen!C15</f>
        <v>1.0716975</v>
      </c>
      <c r="D13" s="18" t="n">
        <f aca="false">Resumen!D15</f>
        <v>1.0786075</v>
      </c>
      <c r="E13" s="6" t="s">
        <v>45</v>
      </c>
    </row>
    <row r="16" customFormat="false" ht="15" hidden="false" customHeight="false" outlineLevel="0" collapsed="false">
      <c r="A16" s="12" t="s">
        <v>46</v>
      </c>
      <c r="B16" s="12"/>
      <c r="C16" s="12"/>
      <c r="D16" s="12"/>
      <c r="E16" s="12"/>
    </row>
    <row r="17" customFormat="false" ht="30" hidden="false" customHeight="true" outlineLevel="0" collapsed="false">
      <c r="A17" s="3" t="s">
        <v>47</v>
      </c>
      <c r="B17" s="3" t="s">
        <v>48</v>
      </c>
      <c r="C17" s="3" t="s">
        <v>49</v>
      </c>
      <c r="D17" s="3" t="s">
        <v>50</v>
      </c>
      <c r="E17" s="3"/>
    </row>
    <row r="18" customFormat="false" ht="15" hidden="false" customHeight="false" outlineLevel="0" collapsed="false">
      <c r="A18" s="19" t="s">
        <v>51</v>
      </c>
      <c r="B18" s="20" t="n">
        <f aca="false">$C$5*0.9</f>
        <v>2842.587</v>
      </c>
      <c r="C18" s="21" t="n">
        <f aca="false">Resumen!$C$8*B18</f>
        <v>2487897.87722438</v>
      </c>
      <c r="D18" s="22" t="n">
        <f aca="false">C18/$C$19-1</f>
        <v>-0.1</v>
      </c>
    </row>
    <row r="19" customFormat="false" ht="15" hidden="false" customHeight="false" outlineLevel="0" collapsed="false">
      <c r="A19" s="19" t="s">
        <v>52</v>
      </c>
      <c r="B19" s="20" t="n">
        <f aca="false">$C$5*1</f>
        <v>3158.43</v>
      </c>
      <c r="C19" s="21" t="n">
        <f aca="false">Resumen!$C$8*B19</f>
        <v>2764330.97469375</v>
      </c>
      <c r="D19" s="22" t="n">
        <f aca="false">C19/$C$19-1</f>
        <v>0</v>
      </c>
    </row>
    <row r="20" customFormat="false" ht="15" hidden="false" customHeight="false" outlineLevel="0" collapsed="false">
      <c r="A20" s="19" t="s">
        <v>53</v>
      </c>
      <c r="B20" s="20" t="n">
        <f aca="false">$C$5*1.1</f>
        <v>3474.273</v>
      </c>
      <c r="C20" s="21" t="n">
        <f aca="false">Resumen!$C$8*B20</f>
        <v>3040764.07216313</v>
      </c>
      <c r="D20" s="22" t="n">
        <f aca="false">C20/$C$19-1</f>
        <v>0.1</v>
      </c>
    </row>
    <row r="23" customFormat="false" ht="15" hidden="false" customHeight="true" outlineLevel="0" collapsed="false">
      <c r="A23" s="23" t="s">
        <v>54</v>
      </c>
      <c r="B23" s="23"/>
      <c r="C23" s="23"/>
      <c r="D23" s="23"/>
      <c r="E23" s="23"/>
    </row>
    <row r="24" customFormat="false" ht="15" hidden="false" customHeight="false" outlineLevel="0" collapsed="false">
      <c r="A24" s="23"/>
      <c r="B24" s="23"/>
      <c r="C24" s="23"/>
      <c r="D24" s="23"/>
      <c r="E24" s="23"/>
    </row>
    <row r="25" customFormat="false" ht="15" hidden="false" customHeight="false" outlineLevel="0" collapsed="false">
      <c r="A25" s="23"/>
      <c r="B25" s="23"/>
      <c r="C25" s="23"/>
      <c r="D25" s="23"/>
      <c r="E25" s="23"/>
    </row>
  </sheetData>
  <mergeCells count="4">
    <mergeCell ref="A1:E1"/>
    <mergeCell ref="A2:E2"/>
    <mergeCell ref="A16:E16"/>
    <mergeCell ref="A23:E25"/>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226562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5" min="3" style="0" width="11"/>
    <col collapsed="false" customWidth="true" hidden="false" outlineLevel="0" max="6" min="6" style="0" width="62"/>
  </cols>
  <sheetData>
    <row r="1" customFormat="false" ht="30" hidden="false" customHeight="true" outlineLevel="0" collapsed="false">
      <c r="A1" s="1" t="s">
        <v>55</v>
      </c>
      <c r="B1" s="1"/>
      <c r="C1" s="1"/>
      <c r="D1" s="1"/>
      <c r="E1" s="1"/>
      <c r="F1" s="1"/>
    </row>
    <row r="2" customFormat="false" ht="27.75" hidden="false" customHeight="true" outlineLevel="0" collapsed="false">
      <c r="A2" s="2" t="s">
        <v>56</v>
      </c>
      <c r="B2" s="2"/>
      <c r="C2" s="2"/>
      <c r="D2" s="2"/>
      <c r="E2" s="2"/>
      <c r="F2" s="2"/>
    </row>
    <row r="3" customFormat="false" ht="30" hidden="false" customHeight="true" outlineLevel="0" collapsed="false">
      <c r="A3" s="3" t="s">
        <v>57</v>
      </c>
      <c r="B3" s="3" t="s">
        <v>58</v>
      </c>
      <c r="C3" s="3" t="s">
        <v>3</v>
      </c>
      <c r="D3" s="3" t="s">
        <v>4</v>
      </c>
      <c r="E3" s="3" t="s">
        <v>5</v>
      </c>
      <c r="F3" s="3" t="s">
        <v>59</v>
      </c>
    </row>
    <row r="4" customFormat="false" ht="15" hidden="false" customHeight="false" outlineLevel="0" collapsed="false">
      <c r="A4" s="4" t="s">
        <v>60</v>
      </c>
      <c r="B4" s="24" t="s">
        <v>61</v>
      </c>
      <c r="C4" s="25" t="n">
        <v>500</v>
      </c>
      <c r="D4" s="25" t="n">
        <v>500</v>
      </c>
      <c r="E4" s="25" t="n">
        <v>500</v>
      </c>
      <c r="F4" s="6" t="s">
        <v>62</v>
      </c>
    </row>
    <row r="5" customFormat="false" ht="15" hidden="false" customHeight="false" outlineLevel="0" collapsed="false">
      <c r="A5" s="4" t="s">
        <v>63</v>
      </c>
      <c r="B5" s="24" t="s">
        <v>64</v>
      </c>
      <c r="C5" s="26" t="n">
        <v>0.6</v>
      </c>
      <c r="D5" s="26" t="n">
        <v>1</v>
      </c>
      <c r="E5" s="26" t="n">
        <v>1</v>
      </c>
      <c r="F5" s="6" t="s">
        <v>65</v>
      </c>
    </row>
    <row r="6" customFormat="false" ht="15" hidden="false" customHeight="false" outlineLevel="0" collapsed="false">
      <c r="A6" s="4" t="s">
        <v>66</v>
      </c>
      <c r="B6" s="24" t="s">
        <v>67</v>
      </c>
      <c r="C6" s="27" t="n">
        <v>1</v>
      </c>
      <c r="D6" s="27" t="n">
        <v>1.5</v>
      </c>
      <c r="E6" s="27" t="n">
        <v>2.5</v>
      </c>
      <c r="F6" s="6" t="s">
        <v>68</v>
      </c>
    </row>
    <row r="7" customFormat="false" ht="15" hidden="false" customHeight="false" outlineLevel="0" collapsed="false">
      <c r="A7" s="4" t="s">
        <v>69</v>
      </c>
      <c r="B7" s="24" t="s">
        <v>70</v>
      </c>
      <c r="C7" s="25" t="n">
        <v>16</v>
      </c>
      <c r="D7" s="25" t="n">
        <v>16</v>
      </c>
      <c r="E7" s="25" t="n">
        <v>16</v>
      </c>
      <c r="F7" s="6" t="s">
        <v>71</v>
      </c>
    </row>
    <row r="8" customFormat="false" ht="15" hidden="false" customHeight="false" outlineLevel="0" collapsed="false">
      <c r="A8" s="4" t="s">
        <v>72</v>
      </c>
      <c r="B8" s="24" t="s">
        <v>73</v>
      </c>
      <c r="C8" s="25" t="n">
        <v>22</v>
      </c>
      <c r="D8" s="25" t="n">
        <v>22</v>
      </c>
      <c r="E8" s="25" t="n">
        <v>22</v>
      </c>
      <c r="F8" s="6" t="s">
        <v>74</v>
      </c>
    </row>
    <row r="9" customFormat="false" ht="15" hidden="false" customHeight="false" outlineLevel="0" collapsed="false">
      <c r="A9" s="4" t="s">
        <v>75</v>
      </c>
      <c r="B9" s="24" t="s">
        <v>76</v>
      </c>
      <c r="C9" s="28" t="n">
        <v>0.048</v>
      </c>
      <c r="D9" s="28" t="n">
        <v>0.048</v>
      </c>
      <c r="E9" s="28" t="n">
        <v>0.048</v>
      </c>
      <c r="F9" s="6" t="s">
        <v>77</v>
      </c>
    </row>
    <row r="10" customFormat="false" ht="15" hidden="false" customHeight="false" outlineLevel="0" collapsed="false">
      <c r="A10" s="4" t="s">
        <v>78</v>
      </c>
      <c r="B10" s="24" t="s">
        <v>79</v>
      </c>
      <c r="C10" s="25" t="n">
        <v>4</v>
      </c>
      <c r="D10" s="25" t="n">
        <v>12</v>
      </c>
      <c r="E10" s="25" t="n">
        <v>30</v>
      </c>
      <c r="F10" s="6" t="s">
        <v>80</v>
      </c>
    </row>
    <row r="11" customFormat="false" ht="15" hidden="false" customHeight="false" outlineLevel="0" collapsed="false">
      <c r="A11" s="4" t="s">
        <v>81</v>
      </c>
      <c r="B11" s="24" t="s">
        <v>82</v>
      </c>
      <c r="C11" s="25" t="n">
        <v>4000</v>
      </c>
      <c r="D11" s="25" t="n">
        <v>4000</v>
      </c>
      <c r="E11" s="25" t="n">
        <v>4000</v>
      </c>
      <c r="F11" s="6" t="s">
        <v>83</v>
      </c>
    </row>
    <row r="12" customFormat="false" ht="15" hidden="false" customHeight="false" outlineLevel="0" collapsed="false">
      <c r="A12" s="4" t="s">
        <v>84</v>
      </c>
      <c r="B12" s="24" t="s">
        <v>82</v>
      </c>
      <c r="C12" s="25" t="n">
        <v>450</v>
      </c>
      <c r="D12" s="25" t="n">
        <v>450</v>
      </c>
      <c r="E12" s="25" t="n">
        <v>450</v>
      </c>
      <c r="F12" s="6" t="s">
        <v>85</v>
      </c>
    </row>
    <row r="13" customFormat="false" ht="15" hidden="false" customHeight="false" outlineLevel="0" collapsed="false">
      <c r="A13" s="4" t="s">
        <v>86</v>
      </c>
      <c r="B13" s="24" t="s">
        <v>82</v>
      </c>
      <c r="C13" s="25" t="n">
        <v>1100</v>
      </c>
      <c r="D13" s="25" t="n">
        <v>1100</v>
      </c>
      <c r="E13" s="25" t="n">
        <v>1100</v>
      </c>
      <c r="F13" s="6" t="s">
        <v>87</v>
      </c>
    </row>
    <row r="14" customFormat="false" ht="15" hidden="false" customHeight="false" outlineLevel="0" collapsed="false">
      <c r="A14" s="4" t="s">
        <v>88</v>
      </c>
      <c r="B14" s="24" t="s">
        <v>82</v>
      </c>
      <c r="C14" s="25" t="n">
        <v>200</v>
      </c>
      <c r="D14" s="25" t="n">
        <v>200</v>
      </c>
      <c r="E14" s="25" t="n">
        <v>200</v>
      </c>
      <c r="F14" s="6" t="s">
        <v>89</v>
      </c>
    </row>
    <row r="15" customFormat="false" ht="15" hidden="false" customHeight="false" outlineLevel="0" collapsed="false">
      <c r="A15" s="4" t="s">
        <v>90</v>
      </c>
      <c r="B15" s="24" t="s">
        <v>82</v>
      </c>
      <c r="C15" s="25" t="n">
        <v>450</v>
      </c>
      <c r="D15" s="25" t="n">
        <v>450</v>
      </c>
      <c r="E15" s="25" t="n">
        <v>450</v>
      </c>
      <c r="F15" s="6" t="s">
        <v>91</v>
      </c>
    </row>
    <row r="16" customFormat="false" ht="15" hidden="false" customHeight="false" outlineLevel="0" collapsed="false">
      <c r="A16" s="4" t="s">
        <v>92</v>
      </c>
      <c r="B16" s="24" t="s">
        <v>82</v>
      </c>
      <c r="C16" s="25" t="n">
        <v>700</v>
      </c>
      <c r="D16" s="25" t="n">
        <v>700</v>
      </c>
      <c r="E16" s="25" t="n">
        <v>700</v>
      </c>
      <c r="F16" s="6" t="s">
        <v>93</v>
      </c>
    </row>
    <row r="17" customFormat="false" ht="15" hidden="false" customHeight="false" outlineLevel="0" collapsed="false">
      <c r="A17" s="4" t="s">
        <v>94</v>
      </c>
      <c r="B17" s="24" t="s">
        <v>82</v>
      </c>
      <c r="C17" s="25" t="n">
        <v>300</v>
      </c>
      <c r="D17" s="25" t="n">
        <v>300</v>
      </c>
      <c r="E17" s="25" t="n">
        <v>300</v>
      </c>
      <c r="F17" s="6" t="s">
        <v>95</v>
      </c>
    </row>
    <row r="18" customFormat="false" ht="15" hidden="false" customHeight="false" outlineLevel="0" collapsed="false">
      <c r="A18" s="4" t="s">
        <v>96</v>
      </c>
      <c r="B18" s="24" t="s">
        <v>82</v>
      </c>
      <c r="C18" s="25" t="n">
        <v>250</v>
      </c>
      <c r="D18" s="25" t="n">
        <v>250</v>
      </c>
      <c r="E18" s="25" t="n">
        <v>250</v>
      </c>
      <c r="F18" s="6" t="s">
        <v>97</v>
      </c>
    </row>
    <row r="19" customFormat="false" ht="15" hidden="false" customHeight="false" outlineLevel="0" collapsed="false">
      <c r="A19" s="4" t="s">
        <v>98</v>
      </c>
      <c r="B19" s="24" t="s">
        <v>99</v>
      </c>
      <c r="C19" s="28" t="n">
        <v>0.125</v>
      </c>
      <c r="D19" s="28" t="n">
        <v>0.125</v>
      </c>
      <c r="E19" s="28" t="n">
        <v>0.125</v>
      </c>
      <c r="F19" s="6" t="s">
        <v>100</v>
      </c>
    </row>
    <row r="20" customFormat="false" ht="15" hidden="false" customHeight="false" outlineLevel="0" collapsed="false">
      <c r="A20" s="4" t="s">
        <v>101</v>
      </c>
      <c r="B20" s="24" t="s">
        <v>99</v>
      </c>
      <c r="C20" s="28" t="n">
        <v>0.75</v>
      </c>
      <c r="D20" s="28" t="n">
        <v>0.75</v>
      </c>
      <c r="E20" s="28" t="n">
        <v>0.75</v>
      </c>
      <c r="F20" s="6" t="s">
        <v>102</v>
      </c>
    </row>
    <row r="21" customFormat="false" ht="15" hidden="false" customHeight="false" outlineLevel="0" collapsed="false">
      <c r="A21" s="4" t="s">
        <v>103</v>
      </c>
      <c r="B21" s="24" t="s">
        <v>99</v>
      </c>
      <c r="C21" s="29" t="n">
        <v>0.3</v>
      </c>
      <c r="D21" s="29" t="n">
        <v>0.3</v>
      </c>
      <c r="E21" s="29" t="n">
        <v>0.3</v>
      </c>
      <c r="F21" s="6" t="s">
        <v>104</v>
      </c>
    </row>
    <row r="22" customFormat="false" ht="15" hidden="false" customHeight="false" outlineLevel="0" collapsed="false">
      <c r="A22" s="4" t="s">
        <v>105</v>
      </c>
      <c r="B22" s="24" t="s">
        <v>99</v>
      </c>
      <c r="C22" s="29" t="n">
        <v>1.2</v>
      </c>
      <c r="D22" s="29" t="n">
        <v>1.2</v>
      </c>
      <c r="E22" s="29" t="n">
        <v>1.2</v>
      </c>
      <c r="F22" s="6" t="s">
        <v>104</v>
      </c>
    </row>
    <row r="23" customFormat="false" ht="15" hidden="false" customHeight="false" outlineLevel="0" collapsed="false">
      <c r="A23" s="4" t="s">
        <v>106</v>
      </c>
      <c r="B23" s="24" t="s">
        <v>107</v>
      </c>
      <c r="C23" s="27" t="n">
        <v>0.5</v>
      </c>
      <c r="D23" s="27" t="n">
        <v>0.5</v>
      </c>
      <c r="E23" s="27" t="n">
        <v>0.5</v>
      </c>
      <c r="F23" s="6" t="s">
        <v>108</v>
      </c>
    </row>
    <row r="24" customFormat="false" ht="15" hidden="false" customHeight="false" outlineLevel="0" collapsed="false">
      <c r="A24" s="4" t="s">
        <v>109</v>
      </c>
      <c r="B24" s="24" t="s">
        <v>82</v>
      </c>
      <c r="C24" s="25" t="n">
        <v>1200</v>
      </c>
      <c r="D24" s="25" t="n">
        <v>1200</v>
      </c>
      <c r="E24" s="25" t="n">
        <v>1200</v>
      </c>
      <c r="F24" s="6" t="s">
        <v>110</v>
      </c>
    </row>
    <row r="25" customFormat="false" ht="15" hidden="false" customHeight="false" outlineLevel="0" collapsed="false">
      <c r="A25" s="4" t="s">
        <v>111</v>
      </c>
      <c r="B25" s="24" t="s">
        <v>82</v>
      </c>
      <c r="C25" s="25" t="n">
        <v>300</v>
      </c>
      <c r="D25" s="25" t="n">
        <v>300</v>
      </c>
      <c r="E25" s="25" t="n">
        <v>300</v>
      </c>
      <c r="F25" s="6" t="s">
        <v>112</v>
      </c>
    </row>
    <row r="26" customFormat="false" ht="15" hidden="false" customHeight="false" outlineLevel="0" collapsed="false">
      <c r="A26" s="4" t="s">
        <v>113</v>
      </c>
      <c r="B26" s="24" t="s">
        <v>114</v>
      </c>
      <c r="C26" s="26" t="n">
        <v>0.5</v>
      </c>
      <c r="D26" s="26" t="n">
        <v>0.5</v>
      </c>
      <c r="E26" s="26" t="n">
        <v>0.5</v>
      </c>
      <c r="F26" s="6" t="s">
        <v>115</v>
      </c>
    </row>
    <row r="27" customFormat="false" ht="15" hidden="false" customHeight="false" outlineLevel="0" collapsed="false">
      <c r="A27" s="4" t="s">
        <v>116</v>
      </c>
      <c r="B27" s="24" t="s">
        <v>117</v>
      </c>
      <c r="C27" s="30" t="n">
        <v>5</v>
      </c>
      <c r="D27" s="30" t="n">
        <v>5</v>
      </c>
      <c r="E27" s="30" t="n">
        <v>5</v>
      </c>
      <c r="F27" s="6" t="s">
        <v>118</v>
      </c>
    </row>
    <row r="28" customFormat="false" ht="15" hidden="false" customHeight="false" outlineLevel="0" collapsed="false">
      <c r="A28" s="4" t="s">
        <v>119</v>
      </c>
      <c r="B28" s="24" t="s">
        <v>120</v>
      </c>
      <c r="C28" s="30" t="n">
        <v>20</v>
      </c>
      <c r="D28" s="30" t="n">
        <v>20</v>
      </c>
      <c r="E28" s="30" t="n">
        <v>20</v>
      </c>
      <c r="F28" s="6" t="s">
        <v>121</v>
      </c>
    </row>
    <row r="29" customFormat="false" ht="15" hidden="false" customHeight="false" outlineLevel="0" collapsed="false">
      <c r="A29" s="4" t="s">
        <v>122</v>
      </c>
      <c r="B29" s="24" t="s">
        <v>123</v>
      </c>
      <c r="C29" s="30" t="n">
        <v>10</v>
      </c>
      <c r="D29" s="30" t="n">
        <v>10</v>
      </c>
      <c r="E29" s="30" t="n">
        <v>10</v>
      </c>
      <c r="F29" s="6" t="s">
        <v>121</v>
      </c>
    </row>
    <row r="30" customFormat="false" ht="15" hidden="false" customHeight="false" outlineLevel="0" collapsed="false">
      <c r="A30" s="4" t="s">
        <v>124</v>
      </c>
      <c r="B30" s="24" t="s">
        <v>123</v>
      </c>
      <c r="C30" s="29" t="n">
        <v>0.15</v>
      </c>
      <c r="D30" s="29" t="n">
        <v>0.15</v>
      </c>
      <c r="E30" s="29" t="n">
        <v>0.15</v>
      </c>
      <c r="F30" s="6" t="s">
        <v>121</v>
      </c>
    </row>
    <row r="31" customFormat="false" ht="15" hidden="false" customHeight="false" outlineLevel="0" collapsed="false">
      <c r="A31" s="4" t="s">
        <v>125</v>
      </c>
      <c r="B31" s="24" t="s">
        <v>126</v>
      </c>
      <c r="C31" s="29" t="n">
        <v>0.05</v>
      </c>
      <c r="D31" s="29" t="n">
        <v>0.05</v>
      </c>
      <c r="E31" s="29" t="n">
        <v>0.05</v>
      </c>
      <c r="F31" s="6" t="s">
        <v>121</v>
      </c>
    </row>
    <row r="32" customFormat="false" ht="15" hidden="false" customHeight="false" outlineLevel="0" collapsed="false">
      <c r="A32" s="4" t="s">
        <v>127</v>
      </c>
      <c r="B32" s="24" t="s">
        <v>117</v>
      </c>
      <c r="C32" s="30" t="n">
        <v>20</v>
      </c>
      <c r="D32" s="30" t="n">
        <v>20</v>
      </c>
      <c r="E32" s="30" t="n">
        <v>20</v>
      </c>
      <c r="F32" s="6" t="s">
        <v>128</v>
      </c>
    </row>
    <row r="33" customFormat="false" ht="15" hidden="false" customHeight="false" outlineLevel="0" collapsed="false">
      <c r="A33" s="4" t="s">
        <v>129</v>
      </c>
      <c r="B33" s="24" t="s">
        <v>130</v>
      </c>
      <c r="C33" s="31" t="n">
        <v>3158.43</v>
      </c>
      <c r="D33" s="31" t="n">
        <v>3158.43</v>
      </c>
      <c r="E33" s="31" t="n">
        <v>3158.43</v>
      </c>
      <c r="F33" s="6" t="s">
        <v>131</v>
      </c>
    </row>
  </sheetData>
  <mergeCells count="2">
    <mergeCell ref="A1:F1"/>
    <mergeCell ref="A2:F2"/>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2265625" defaultRowHeight="15" zeroHeight="false" outlineLevelRow="0" outlineLevelCol="0"/>
  <cols>
    <col collapsed="false" customWidth="true" hidden="false" outlineLevel="0" max="2" min="1" style="0" width="34"/>
    <col collapsed="false" customWidth="true" hidden="false" outlineLevel="0" max="5" min="3" style="0" width="14"/>
    <col collapsed="false" customWidth="true" hidden="false" outlineLevel="0" max="6" min="6" style="0" width="40"/>
  </cols>
  <sheetData>
    <row r="1" customFormat="false" ht="30" hidden="false" customHeight="true" outlineLevel="0" collapsed="false">
      <c r="A1" s="1" t="s">
        <v>132</v>
      </c>
      <c r="B1" s="1"/>
      <c r="C1" s="1"/>
      <c r="D1" s="1"/>
      <c r="E1" s="1"/>
      <c r="F1" s="1"/>
    </row>
    <row r="2" customFormat="false" ht="27.75" hidden="false" customHeight="true" outlineLevel="0" collapsed="false">
      <c r="A2" s="2" t="s">
        <v>133</v>
      </c>
      <c r="B2" s="2"/>
      <c r="C2" s="2"/>
      <c r="D2" s="2"/>
      <c r="E2" s="2"/>
      <c r="F2" s="2"/>
    </row>
    <row r="3" customFormat="false" ht="30" hidden="false" customHeight="true" outlineLevel="0" collapsed="false">
      <c r="A3" s="3" t="s">
        <v>134</v>
      </c>
      <c r="B3" s="3" t="s">
        <v>135</v>
      </c>
      <c r="C3" s="3" t="s">
        <v>3</v>
      </c>
      <c r="D3" s="3" t="s">
        <v>4</v>
      </c>
      <c r="E3" s="3" t="s">
        <v>5</v>
      </c>
      <c r="F3" s="3" t="s">
        <v>6</v>
      </c>
    </row>
    <row r="4" customFormat="false" ht="15" hidden="false" customHeight="false" outlineLevel="0" collapsed="false">
      <c r="A4" s="4" t="s">
        <v>9</v>
      </c>
      <c r="B4" s="32" t="s">
        <v>136</v>
      </c>
      <c r="C4" s="33" t="n">
        <f aca="false">Supuestos!C$4*Supuestos!C$5*Supuestos!C$6</f>
        <v>300</v>
      </c>
      <c r="D4" s="33" t="n">
        <f aca="false">Supuestos!D$4*Supuestos!D$5*Supuestos!D$6</f>
        <v>750</v>
      </c>
      <c r="E4" s="33" t="n">
        <f aca="false">Supuestos!E$4*Supuestos!E$5*Supuestos!E$6</f>
        <v>1250</v>
      </c>
      <c r="F4" s="6" t="s">
        <v>137</v>
      </c>
    </row>
    <row r="5" customFormat="false" ht="15" hidden="false" customHeight="false" outlineLevel="0" collapsed="false">
      <c r="A5" s="4" t="s">
        <v>22</v>
      </c>
      <c r="B5" s="32" t="s">
        <v>138</v>
      </c>
      <c r="C5" s="33" t="n">
        <f aca="false">C4*Supuestos!C$8</f>
        <v>6600</v>
      </c>
      <c r="D5" s="33" t="n">
        <f aca="false">D4*Supuestos!D$8</f>
        <v>16500</v>
      </c>
      <c r="E5" s="33" t="n">
        <f aca="false">E4*Supuestos!E$8</f>
        <v>27500</v>
      </c>
      <c r="F5" s="6" t="s">
        <v>139</v>
      </c>
    </row>
    <row r="6" customFormat="false" ht="15" hidden="false" customHeight="false" outlineLevel="0" collapsed="false">
      <c r="A6" s="4" t="s">
        <v>140</v>
      </c>
      <c r="B6" s="32" t="s">
        <v>141</v>
      </c>
      <c r="C6" s="34" t="n">
        <f aca="false">C5*Supuestos!C$9</f>
        <v>316.8</v>
      </c>
      <c r="D6" s="34" t="n">
        <f aca="false">D5*Supuestos!D$9</f>
        <v>792</v>
      </c>
      <c r="E6" s="34" t="n">
        <f aca="false">E5*Supuestos!E$9</f>
        <v>1320</v>
      </c>
      <c r="F6" s="6" t="s">
        <v>142</v>
      </c>
    </row>
    <row r="7" customFormat="false" ht="15" hidden="false" customHeight="false" outlineLevel="0" collapsed="false">
      <c r="A7" s="4" t="s">
        <v>143</v>
      </c>
      <c r="B7" s="32" t="s">
        <v>144</v>
      </c>
      <c r="C7" s="35" t="n">
        <f aca="false">C4*(Supuestos!C$13*Supuestos!C$19+Supuestos!C$14*Supuestos!C$20)/1000000</f>
        <v>0.08625</v>
      </c>
      <c r="D7" s="35" t="n">
        <f aca="false">D4*(Supuestos!D$13*Supuestos!D$19+Supuestos!D$14*Supuestos!D$20)/1000000</f>
        <v>0.215625</v>
      </c>
      <c r="E7" s="35" t="n">
        <f aca="false">E4*(Supuestos!E$13*Supuestos!E$19+Supuestos!E$14*Supuestos!E$20)/1000000</f>
        <v>0.359375</v>
      </c>
      <c r="F7" s="6" t="s">
        <v>145</v>
      </c>
    </row>
    <row r="8" customFormat="false" ht="15" hidden="false" customHeight="false" outlineLevel="0" collapsed="false">
      <c r="A8" s="4" t="s">
        <v>146</v>
      </c>
      <c r="B8" s="32" t="s">
        <v>147</v>
      </c>
      <c r="C8" s="35" t="n">
        <f aca="false">C4*(Supuestos!C$15*Supuestos!C$21+Supuestos!C$16*Supuestos!C$22)/1000000</f>
        <v>0.2925</v>
      </c>
      <c r="D8" s="35" t="n">
        <f aca="false">D4*(Supuestos!D$15*Supuestos!D$21+Supuestos!D$16*Supuestos!D$22)/1000000</f>
        <v>0.73125</v>
      </c>
      <c r="E8" s="35" t="n">
        <f aca="false">E4*(Supuestos!E$15*Supuestos!E$21+Supuestos!E$16*Supuestos!E$22)/1000000</f>
        <v>1.21875</v>
      </c>
      <c r="F8" s="6" t="s">
        <v>148</v>
      </c>
    </row>
    <row r="9" customFormat="false" ht="15" hidden="false" customHeight="false" outlineLevel="0" collapsed="false">
      <c r="A9" s="4" t="s">
        <v>149</v>
      </c>
      <c r="B9" s="32" t="s">
        <v>147</v>
      </c>
      <c r="C9" s="35" t="n">
        <f aca="false">C4*(Supuestos!C$17*Supuestos!C$21+Supuestos!C$18*Supuestos!C$22)/1000000</f>
        <v>0.117</v>
      </c>
      <c r="D9" s="35" t="n">
        <f aca="false">D4*(Supuestos!D$17*Supuestos!D$21+Supuestos!D$18*Supuestos!D$22)/1000000</f>
        <v>0.2925</v>
      </c>
      <c r="E9" s="35" t="n">
        <f aca="false">E4*(Supuestos!E$17*Supuestos!E$21+Supuestos!E$18*Supuestos!E$22)/1000000</f>
        <v>0.4875</v>
      </c>
      <c r="F9" s="6" t="s">
        <v>150</v>
      </c>
    </row>
    <row r="10" customFormat="false" ht="15" hidden="false" customHeight="false" outlineLevel="0" collapsed="false">
      <c r="A10" s="4" t="s">
        <v>151</v>
      </c>
      <c r="B10" s="32" t="s">
        <v>152</v>
      </c>
      <c r="C10" s="35" t="n">
        <f aca="false">Supuestos!C$4*Supuestos!C$5*Supuestos!C$10*(Supuestos!C$11*Supuestos!C$21+Supuestos!C$12*Supuestos!C$22)/1000000</f>
        <v>2.088</v>
      </c>
      <c r="D10" s="35" t="n">
        <f aca="false">Supuestos!D$4*Supuestos!D$5*Supuestos!D$10*(Supuestos!D$11*Supuestos!D$21+Supuestos!D$12*Supuestos!D$22)/1000000</f>
        <v>10.44</v>
      </c>
      <c r="E10" s="35" t="n">
        <f aca="false">Supuestos!E$4*Supuestos!E$5*Supuestos!E$10*(Supuestos!E$11*Supuestos!E$21+Supuestos!E$12*Supuestos!E$22)/1000000</f>
        <v>26.1</v>
      </c>
      <c r="F10" s="6" t="s">
        <v>153</v>
      </c>
    </row>
    <row r="11" customFormat="false" ht="15" hidden="false" customHeight="false" outlineLevel="0" collapsed="false">
      <c r="A11" s="4" t="s">
        <v>154</v>
      </c>
      <c r="B11" s="32" t="s">
        <v>155</v>
      </c>
      <c r="C11" s="35" t="n">
        <f aca="false">Supuestos!C$4*Supuestos!C$5*Supuestos!C$23*(Supuestos!C$24*Supuestos!C$19+Supuestos!C$25*Supuestos!C$20)/1000000</f>
        <v>0.05625</v>
      </c>
      <c r="D11" s="35" t="n">
        <f aca="false">Supuestos!D$4*Supuestos!D$5*Supuestos!D$23*(Supuestos!D$24*Supuestos!D$19+Supuestos!D$25*Supuestos!D$20)/1000000</f>
        <v>0.09375</v>
      </c>
      <c r="E11" s="35" t="n">
        <f aca="false">Supuestos!E$4*Supuestos!E$5*Supuestos!E$23*(Supuestos!E$24*Supuestos!E$19+Supuestos!E$25*Supuestos!E$20)/1000000</f>
        <v>0.09375</v>
      </c>
      <c r="F11" s="6" t="s">
        <v>156</v>
      </c>
    </row>
    <row r="12" customFormat="false" ht="15" hidden="false" customHeight="false" outlineLevel="0" collapsed="false">
      <c r="A12" s="8" t="s">
        <v>157</v>
      </c>
      <c r="B12" s="32" t="s">
        <v>158</v>
      </c>
      <c r="C12" s="36" t="n">
        <f aca="false">SUM(C6:C11)</f>
        <v>319.44</v>
      </c>
      <c r="D12" s="36" t="n">
        <f aca="false">SUM(D6:D11)</f>
        <v>803.773125</v>
      </c>
      <c r="E12" s="36" t="n">
        <f aca="false">SUM(E6:E11)</f>
        <v>1348.259375</v>
      </c>
      <c r="F12" s="6" t="s">
        <v>159</v>
      </c>
    </row>
    <row r="13" customFormat="false" ht="15" hidden="false" customHeight="false" outlineLevel="0" collapsed="false">
      <c r="A13" s="8" t="s">
        <v>23</v>
      </c>
      <c r="B13" s="32" t="s">
        <v>160</v>
      </c>
      <c r="C13" s="37" t="n">
        <f aca="false">C12/C4</f>
        <v>1.0648</v>
      </c>
      <c r="D13" s="37" t="n">
        <f aca="false">D12/D4</f>
        <v>1.0716975</v>
      </c>
      <c r="E13" s="37" t="n">
        <f aca="false">E12/E4</f>
        <v>1.0786075</v>
      </c>
      <c r="F13" s="6" t="s">
        <v>24</v>
      </c>
    </row>
    <row r="14" customFormat="false" ht="15" hidden="false" customHeight="false" outlineLevel="0" collapsed="false">
      <c r="A14" s="4" t="s">
        <v>161</v>
      </c>
      <c r="B14" s="32" t="s">
        <v>162</v>
      </c>
      <c r="C14" s="35" t="n">
        <f aca="false">C12/(Supuestos!C$4*Supuestos!C$5)</f>
        <v>1.0648</v>
      </c>
      <c r="D14" s="35" t="n">
        <f aca="false">D12/(Supuestos!D$4*Supuestos!D$5)</f>
        <v>1.60754625</v>
      </c>
      <c r="E14" s="35" t="n">
        <f aca="false">E12/(Supuestos!E$4*Supuestos!E$5)</f>
        <v>2.69651875</v>
      </c>
      <c r="F14" s="6"/>
    </row>
    <row r="15" customFormat="false" ht="15" hidden="false" customHeight="false" outlineLevel="0" collapsed="false">
      <c r="A15" s="4" t="s">
        <v>7</v>
      </c>
      <c r="B15" s="32" t="s">
        <v>163</v>
      </c>
      <c r="C15" s="33" t="n">
        <f aca="false">Supuestos!C$4*Supuestos!C$5</f>
        <v>300</v>
      </c>
      <c r="D15" s="33" t="n">
        <f aca="false">Supuestos!D$4*Supuestos!D$5</f>
        <v>500</v>
      </c>
      <c r="E15" s="33" t="n">
        <f aca="false">Supuestos!E$4*Supuestos!E$5</f>
        <v>500</v>
      </c>
      <c r="F15" s="6"/>
    </row>
  </sheetData>
  <mergeCells count="2">
    <mergeCell ref="A1:F1"/>
    <mergeCell ref="A2:F2"/>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2265625" defaultRowHeight="15" zeroHeight="false" outlineLevelRow="0" outlineLevelCol="0"/>
  <cols>
    <col collapsed="false" customWidth="true" hidden="false" outlineLevel="0" max="1" min="1" style="0" width="34"/>
    <col collapsed="false" customWidth="true" hidden="false" outlineLevel="0" max="2" min="2" style="0" width="11"/>
    <col collapsed="false" customWidth="true" hidden="false" outlineLevel="0" max="6" min="3" style="0" width="12"/>
    <col collapsed="false" customWidth="true" hidden="false" outlineLevel="0" max="7" min="7" style="0" width="14"/>
    <col collapsed="false" customWidth="true" hidden="false" outlineLevel="0" max="8" min="8" style="0" width="13"/>
    <col collapsed="false" customWidth="true" hidden="false" outlineLevel="0" max="9" min="9" style="0" width="40"/>
  </cols>
  <sheetData>
    <row r="1" customFormat="false" ht="30" hidden="false" customHeight="true" outlineLevel="0" collapsed="false">
      <c r="A1" s="1" t="s">
        <v>164</v>
      </c>
      <c r="B1" s="1"/>
      <c r="C1" s="1"/>
      <c r="D1" s="1"/>
      <c r="E1" s="1"/>
      <c r="F1" s="1"/>
      <c r="G1" s="1"/>
      <c r="H1" s="1"/>
      <c r="I1" s="1"/>
    </row>
    <row r="2" customFormat="false" ht="27.75" hidden="false" customHeight="true" outlineLevel="0" collapsed="false">
      <c r="A2" s="2" t="s">
        <v>165</v>
      </c>
      <c r="B2" s="2"/>
      <c r="C2" s="2"/>
      <c r="D2" s="2"/>
      <c r="E2" s="2"/>
      <c r="F2" s="2"/>
      <c r="G2" s="2"/>
      <c r="H2" s="2"/>
      <c r="I2" s="2"/>
    </row>
    <row r="3" customFormat="false" ht="30" hidden="false" customHeight="true" outlineLevel="0" collapsed="false">
      <c r="A3" s="3" t="s">
        <v>166</v>
      </c>
      <c r="B3" s="3" t="s">
        <v>167</v>
      </c>
      <c r="C3" s="3" t="s">
        <v>168</v>
      </c>
      <c r="D3" s="3" t="s">
        <v>169</v>
      </c>
      <c r="E3" s="3" t="s">
        <v>170</v>
      </c>
      <c r="F3" s="3" t="s">
        <v>171</v>
      </c>
      <c r="G3" s="3" t="s">
        <v>172</v>
      </c>
      <c r="H3" s="3" t="s">
        <v>173</v>
      </c>
      <c r="I3" s="3" t="s">
        <v>6</v>
      </c>
    </row>
    <row r="4" customFormat="false" ht="15" hidden="false" customHeight="false" outlineLevel="0" collapsed="false">
      <c r="A4" s="19" t="s">
        <v>174</v>
      </c>
      <c r="B4" s="38" t="n">
        <v>0.25</v>
      </c>
      <c r="C4" s="39" t="n">
        <f aca="false">B4*Supuestos!$C$28</f>
        <v>5</v>
      </c>
      <c r="D4" s="38" t="n">
        <v>0.6</v>
      </c>
      <c r="E4" s="39" t="n">
        <f aca="false">D4*Supuestos!$C$29</f>
        <v>6</v>
      </c>
      <c r="F4" s="40" t="n">
        <v>0</v>
      </c>
      <c r="G4" s="39" t="n">
        <f aca="false">F4*Supuestos!$C$30</f>
        <v>0</v>
      </c>
      <c r="H4" s="39" t="n">
        <f aca="false">C4+E4+G4</f>
        <v>11</v>
      </c>
      <c r="I4" s="6" t="s">
        <v>175</v>
      </c>
    </row>
    <row r="5" customFormat="false" ht="15" hidden="false" customHeight="false" outlineLevel="0" collapsed="false">
      <c r="A5" s="19" t="s">
        <v>176</v>
      </c>
      <c r="B5" s="38" t="n">
        <v>0.1</v>
      </c>
      <c r="C5" s="39" t="n">
        <f aca="false">B5*Supuestos!$C$28</f>
        <v>2</v>
      </c>
      <c r="D5" s="38" t="n">
        <v>0.3</v>
      </c>
      <c r="E5" s="39" t="n">
        <f aca="false">D5*Supuestos!$C$29</f>
        <v>3</v>
      </c>
      <c r="F5" s="40" t="n">
        <v>0</v>
      </c>
      <c r="G5" s="39" t="n">
        <f aca="false">F5*Supuestos!$C$30</f>
        <v>0</v>
      </c>
      <c r="H5" s="39" t="n">
        <f aca="false">C5+E5+G5</f>
        <v>5</v>
      </c>
      <c r="I5" s="6" t="s">
        <v>177</v>
      </c>
    </row>
    <row r="6" customFormat="false" ht="15" hidden="false" customHeight="false" outlineLevel="0" collapsed="false">
      <c r="A6" s="19" t="s">
        <v>178</v>
      </c>
      <c r="B6" s="38" t="n">
        <v>0.25</v>
      </c>
      <c r="C6" s="39" t="n">
        <f aca="false">B6*Supuestos!$C$28</f>
        <v>5</v>
      </c>
      <c r="D6" s="38" t="n">
        <v>1</v>
      </c>
      <c r="E6" s="39" t="n">
        <f aca="false">D6*Supuestos!$C$29</f>
        <v>10</v>
      </c>
      <c r="F6" s="40" t="n">
        <v>12</v>
      </c>
      <c r="G6" s="39" t="n">
        <f aca="false">F6*Supuestos!$C$30</f>
        <v>1.8</v>
      </c>
      <c r="H6" s="39" t="n">
        <f aca="false">C6+E6+G6</f>
        <v>16.8</v>
      </c>
      <c r="I6" s="6" t="s">
        <v>179</v>
      </c>
    </row>
    <row r="7" customFormat="false" ht="15" hidden="false" customHeight="false" outlineLevel="0" collapsed="false">
      <c r="A7" s="19" t="s">
        <v>180</v>
      </c>
      <c r="B7" s="38" t="n">
        <v>0.05</v>
      </c>
      <c r="C7" s="39" t="n">
        <f aca="false">B7*Supuestos!$C$28</f>
        <v>1</v>
      </c>
      <c r="D7" s="38" t="n">
        <v>0.25</v>
      </c>
      <c r="E7" s="39" t="n">
        <f aca="false">D7*Supuestos!$C$29</f>
        <v>2.5</v>
      </c>
      <c r="F7" s="40" t="n">
        <v>0</v>
      </c>
      <c r="G7" s="39" t="n">
        <f aca="false">F7*Supuestos!$C$30</f>
        <v>0</v>
      </c>
      <c r="H7" s="39" t="n">
        <f aca="false">C7+E7+G7</f>
        <v>3.5</v>
      </c>
      <c r="I7" s="6" t="s">
        <v>181</v>
      </c>
    </row>
    <row r="8" customFormat="false" ht="15" hidden="false" customHeight="false" outlineLevel="0" collapsed="false">
      <c r="A8" s="19" t="s">
        <v>182</v>
      </c>
      <c r="B8" s="38" t="n">
        <v>0.05</v>
      </c>
      <c r="C8" s="39" t="n">
        <f aca="false">B8*Supuestos!$C$28</f>
        <v>1</v>
      </c>
      <c r="D8" s="38" t="n">
        <v>0.2</v>
      </c>
      <c r="E8" s="39" t="n">
        <f aca="false">D8*Supuestos!$C$29</f>
        <v>2</v>
      </c>
      <c r="F8" s="40" t="n">
        <v>0</v>
      </c>
      <c r="G8" s="39" t="n">
        <f aca="false">F8*Supuestos!$C$30</f>
        <v>0</v>
      </c>
      <c r="H8" s="39" t="n">
        <f aca="false">C8+E8+G8</f>
        <v>3</v>
      </c>
      <c r="I8" s="6" t="s">
        <v>183</v>
      </c>
    </row>
    <row r="9" customFormat="false" ht="15" hidden="false" customHeight="false" outlineLevel="0" collapsed="false">
      <c r="A9" s="19" t="s">
        <v>184</v>
      </c>
      <c r="B9" s="38" t="n">
        <v>0.05</v>
      </c>
      <c r="C9" s="39" t="n">
        <f aca="false">B9*Supuestos!$C$28</f>
        <v>1</v>
      </c>
      <c r="D9" s="38" t="n">
        <v>0.2</v>
      </c>
      <c r="E9" s="39" t="n">
        <f aca="false">D9*Supuestos!$C$29</f>
        <v>2</v>
      </c>
      <c r="F9" s="40" t="n">
        <v>0</v>
      </c>
      <c r="G9" s="39" t="n">
        <f aca="false">F9*Supuestos!$C$30</f>
        <v>0</v>
      </c>
      <c r="H9" s="39" t="n">
        <f aca="false">C9+E9+G9</f>
        <v>3</v>
      </c>
      <c r="I9" s="6" t="s">
        <v>185</v>
      </c>
    </row>
    <row r="10" customFormat="false" ht="15" hidden="false" customHeight="false" outlineLevel="0" collapsed="false">
      <c r="A10" s="41" t="s">
        <v>186</v>
      </c>
      <c r="H10" s="36" t="n">
        <f aca="false">SUM(H4:H9)</f>
        <v>42.3</v>
      </c>
    </row>
    <row r="11" customFormat="false" ht="15" hidden="false" customHeight="false" outlineLevel="0" collapsed="false">
      <c r="A11" s="0" t="s">
        <v>187</v>
      </c>
      <c r="H11" s="37" t="n">
        <f aca="false">40*Supuestos!$C$31</f>
        <v>2</v>
      </c>
    </row>
    <row r="12" customFormat="false" ht="15" hidden="false" customHeight="false" outlineLevel="0" collapsed="false">
      <c r="A12" s="41" t="s">
        <v>188</v>
      </c>
      <c r="H12" s="36" t="n">
        <f aca="false">H10+H11</f>
        <v>44.3</v>
      </c>
    </row>
    <row r="13" customFormat="false" ht="15" hidden="false" customHeight="false" outlineLevel="0" collapsed="false">
      <c r="A13" s="41" t="s">
        <v>189</v>
      </c>
      <c r="H13" s="36" t="n">
        <f aca="false">H12*Supuestos!$C$26</f>
        <v>22.15</v>
      </c>
    </row>
    <row r="14" customFormat="false" ht="15" hidden="false" customHeight="false" outlineLevel="0" collapsed="false">
      <c r="A14" s="41" t="s">
        <v>190</v>
      </c>
      <c r="H14" s="36" t="n">
        <f aca="false">Supuestos!$C$27</f>
        <v>5</v>
      </c>
    </row>
    <row r="15" customFormat="false" ht="15" hidden="false" customHeight="false" outlineLevel="0" collapsed="false">
      <c r="A15" s="41" t="s">
        <v>191</v>
      </c>
      <c r="H15" s="36" t="n">
        <f aca="false">H12+H13+H14</f>
        <v>71.45</v>
      </c>
    </row>
    <row r="17" customFormat="false" ht="15" hidden="false" customHeight="false" outlineLevel="0" collapsed="false">
      <c r="A17" s="12" t="s">
        <v>192</v>
      </c>
      <c r="B17" s="12"/>
      <c r="C17" s="12"/>
      <c r="D17" s="12"/>
      <c r="E17" s="12"/>
      <c r="F17" s="12"/>
      <c r="G17" s="12"/>
      <c r="H17" s="12"/>
      <c r="I17" s="12"/>
    </row>
    <row r="18" customFormat="false" ht="15" hidden="false" customHeight="true" outlineLevel="0" collapsed="false">
      <c r="A18" s="23" t="s">
        <v>193</v>
      </c>
      <c r="B18" s="23"/>
      <c r="C18" s="23"/>
      <c r="D18" s="23"/>
      <c r="E18" s="23"/>
      <c r="F18" s="23"/>
      <c r="G18" s="23"/>
      <c r="H18" s="23"/>
      <c r="I18" s="23"/>
    </row>
    <row r="19" customFormat="false" ht="15" hidden="false" customHeight="false" outlineLevel="0" collapsed="false">
      <c r="A19" s="23"/>
      <c r="B19" s="23"/>
      <c r="C19" s="23"/>
      <c r="D19" s="23"/>
      <c r="E19" s="23"/>
      <c r="F19" s="23"/>
      <c r="G19" s="23"/>
      <c r="H19" s="23"/>
      <c r="I19" s="23"/>
    </row>
  </sheetData>
  <mergeCells count="4">
    <mergeCell ref="A1:I1"/>
    <mergeCell ref="A2:I2"/>
    <mergeCell ref="A17:I17"/>
    <mergeCell ref="A18:I19"/>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265625" defaultRowHeight="15" zeroHeight="false" outlineLevelRow="0" outlineLevelCol="0"/>
  <cols>
    <col collapsed="false" customWidth="true" hidden="false" outlineLevel="0" max="1" min="1" style="0" width="36"/>
    <col collapsed="false" customWidth="true" hidden="false" outlineLevel="0" max="4" min="2" style="0" width="18"/>
    <col collapsed="false" customWidth="true" hidden="false" outlineLevel="0" max="5" min="5" style="0" width="20"/>
  </cols>
  <sheetData>
    <row r="1" customFormat="false" ht="30" hidden="false" customHeight="true" outlineLevel="0" collapsed="false">
      <c r="A1" s="1" t="s">
        <v>194</v>
      </c>
      <c r="B1" s="1"/>
      <c r="C1" s="1"/>
      <c r="D1" s="1"/>
      <c r="E1" s="1"/>
    </row>
    <row r="2" customFormat="false" ht="27.75" hidden="false" customHeight="true" outlineLevel="0" collapsed="false">
      <c r="A2" s="2" t="s">
        <v>195</v>
      </c>
      <c r="B2" s="2"/>
      <c r="C2" s="2"/>
      <c r="D2" s="2"/>
      <c r="E2" s="2"/>
    </row>
    <row r="3" customFormat="false" ht="15" hidden="false" customHeight="false" outlineLevel="0" collapsed="false">
      <c r="A3" s="12" t="s">
        <v>196</v>
      </c>
      <c r="B3" s="12"/>
      <c r="C3" s="12"/>
      <c r="D3" s="12"/>
      <c r="E3" s="12"/>
    </row>
    <row r="4" customFormat="false" ht="30" hidden="false" customHeight="true" outlineLevel="0" collapsed="false">
      <c r="A4" s="3" t="s">
        <v>197</v>
      </c>
      <c r="B4" s="3" t="s">
        <v>198</v>
      </c>
      <c r="C4" s="3" t="s">
        <v>199</v>
      </c>
      <c r="D4" s="3" t="s">
        <v>200</v>
      </c>
      <c r="E4" s="3" t="s">
        <v>201</v>
      </c>
    </row>
    <row r="5" customFormat="false" ht="15" hidden="false" customHeight="false" outlineLevel="0" collapsed="false">
      <c r="A5" s="42" t="s">
        <v>202</v>
      </c>
      <c r="B5" s="40" t="n">
        <v>9</v>
      </c>
      <c r="C5" s="39" t="n">
        <f aca="false">B5*Supuestos!$C$9</f>
        <v>0.432</v>
      </c>
      <c r="D5" s="39" t="n">
        <f aca="false">C5*'Costos IA'!$D$4</f>
        <v>324</v>
      </c>
      <c r="E5" s="22" t="n">
        <f aca="false">1-D5/$D$9</f>
        <v>0.590909090909091</v>
      </c>
    </row>
    <row r="6" customFormat="false" ht="15" hidden="false" customHeight="false" outlineLevel="0" collapsed="false">
      <c r="A6" s="19" t="s">
        <v>203</v>
      </c>
      <c r="B6" s="40" t="n">
        <v>12</v>
      </c>
      <c r="C6" s="39" t="n">
        <f aca="false">B6*Supuestos!$C$9</f>
        <v>0.576</v>
      </c>
      <c r="D6" s="39" t="n">
        <f aca="false">C6*'Costos IA'!$D$4</f>
        <v>432</v>
      </c>
      <c r="E6" s="22" t="n">
        <f aca="false">1-D6/$D$9</f>
        <v>0.454545454545455</v>
      </c>
    </row>
    <row r="7" customFormat="false" ht="15" hidden="false" customHeight="false" outlineLevel="0" collapsed="false">
      <c r="A7" s="19" t="s">
        <v>204</v>
      </c>
      <c r="B7" s="40" t="n">
        <v>14</v>
      </c>
      <c r="C7" s="39" t="n">
        <f aca="false">B7*Supuestos!$C$9</f>
        <v>0.672</v>
      </c>
      <c r="D7" s="39" t="n">
        <f aca="false">C7*'Costos IA'!$D$4</f>
        <v>504</v>
      </c>
      <c r="E7" s="22" t="n">
        <f aca="false">1-D7/$D$9</f>
        <v>0.363636363636364</v>
      </c>
    </row>
    <row r="8" customFormat="false" ht="15" hidden="false" customHeight="false" outlineLevel="0" collapsed="false">
      <c r="A8" s="19" t="s">
        <v>205</v>
      </c>
      <c r="B8" s="40" t="n">
        <v>16</v>
      </c>
      <c r="C8" s="39" t="n">
        <f aca="false">B8*Supuestos!$C$9</f>
        <v>0.768</v>
      </c>
      <c r="D8" s="39" t="n">
        <f aca="false">C8*'Costos IA'!$D$4</f>
        <v>576</v>
      </c>
      <c r="E8" s="22" t="n">
        <f aca="false">1-D8/$D$9</f>
        <v>0.272727272727273</v>
      </c>
    </row>
    <row r="9" customFormat="false" ht="15" hidden="false" customHeight="false" outlineLevel="0" collapsed="false">
      <c r="A9" s="43" t="s">
        <v>206</v>
      </c>
      <c r="B9" s="40" t="n">
        <v>22</v>
      </c>
      <c r="C9" s="39" t="n">
        <f aca="false">B9*Supuestos!$C$9</f>
        <v>1.056</v>
      </c>
      <c r="D9" s="39" t="n">
        <f aca="false">C9*'Costos IA'!$D$4</f>
        <v>792</v>
      </c>
      <c r="E9" s="22" t="n">
        <f aca="false">1-D9/$D$9</f>
        <v>0</v>
      </c>
    </row>
    <row r="10" customFormat="false" ht="15" hidden="false" customHeight="false" outlineLevel="0" collapsed="false">
      <c r="A10" s="19" t="s">
        <v>207</v>
      </c>
      <c r="B10" s="40" t="n">
        <v>30</v>
      </c>
      <c r="C10" s="39" t="n">
        <f aca="false">B10*Supuestos!$C$9</f>
        <v>1.44</v>
      </c>
      <c r="D10" s="39" t="n">
        <f aca="false">C10*'Costos IA'!$D$4</f>
        <v>1080</v>
      </c>
      <c r="E10" s="22" t="n">
        <f aca="false">1-D10/$D$9</f>
        <v>-0.363636363636364</v>
      </c>
    </row>
    <row r="12" customFormat="false" ht="15" hidden="false" customHeight="false" outlineLevel="0" collapsed="false">
      <c r="A12" s="12" t="s">
        <v>208</v>
      </c>
      <c r="B12" s="12"/>
      <c r="C12" s="12"/>
      <c r="D12" s="12"/>
      <c r="E12" s="12"/>
    </row>
    <row r="13" customFormat="false" ht="30" hidden="false" customHeight="true" outlineLevel="0" collapsed="false">
      <c r="A13" s="3" t="s">
        <v>209</v>
      </c>
      <c r="B13" s="3" t="s">
        <v>210</v>
      </c>
      <c r="C13" s="3" t="s">
        <v>211</v>
      </c>
      <c r="D13" s="3" t="s">
        <v>212</v>
      </c>
      <c r="E13" s="3" t="s">
        <v>213</v>
      </c>
    </row>
    <row r="14" customFormat="false" ht="15" hidden="false" customHeight="false" outlineLevel="0" collapsed="false">
      <c r="A14" s="40" t="n">
        <v>250</v>
      </c>
      <c r="B14" s="39" t="n">
        <f aca="false">A14*('Costos IA'!$D$6+'Costos IA'!$D$7+'Costos IA'!$D$8+'Costos IA'!$D$9)/'Costos IA'!$D$4</f>
        <v>264.413125</v>
      </c>
      <c r="C14" s="39" t="n">
        <f aca="false">'Costos IA'!$D$10+'Costos IA'!$D$11</f>
        <v>10.53375</v>
      </c>
      <c r="D14" s="39" t="n">
        <f aca="false">'Infra Railway'!$H$15</f>
        <v>71.45</v>
      </c>
      <c r="E14" s="39" t="n">
        <f aca="false">B14+C14+D14</f>
        <v>346.396875</v>
      </c>
    </row>
    <row r="15" customFormat="false" ht="15" hidden="false" customHeight="false" outlineLevel="0" collapsed="false">
      <c r="A15" s="40" t="n">
        <v>500</v>
      </c>
      <c r="B15" s="39" t="n">
        <f aca="false">A15*('Costos IA'!$D$6+'Costos IA'!$D$7+'Costos IA'!$D$8+'Costos IA'!$D$9)/'Costos IA'!$D$4</f>
        <v>528.82625</v>
      </c>
      <c r="C15" s="39" t="n">
        <f aca="false">'Costos IA'!$D$10+'Costos IA'!$D$11</f>
        <v>10.53375</v>
      </c>
      <c r="D15" s="39" t="n">
        <f aca="false">'Infra Railway'!$H$15</f>
        <v>71.45</v>
      </c>
      <c r="E15" s="39" t="n">
        <f aca="false">B15+C15+D15</f>
        <v>610.81</v>
      </c>
    </row>
    <row r="16" customFormat="false" ht="15" hidden="false" customHeight="false" outlineLevel="0" collapsed="false">
      <c r="A16" s="40" t="n">
        <v>750</v>
      </c>
      <c r="B16" s="39" t="n">
        <f aca="false">A16*('Costos IA'!$D$6+'Costos IA'!$D$7+'Costos IA'!$D$8+'Costos IA'!$D$9)/'Costos IA'!$D$4</f>
        <v>793.239375</v>
      </c>
      <c r="C16" s="39" t="n">
        <f aca="false">'Costos IA'!$D$10+'Costos IA'!$D$11</f>
        <v>10.53375</v>
      </c>
      <c r="D16" s="39" t="n">
        <f aca="false">'Infra Railway'!$H$15</f>
        <v>71.45</v>
      </c>
      <c r="E16" s="39" t="n">
        <f aca="false">B16+C16+D16</f>
        <v>875.223125</v>
      </c>
    </row>
    <row r="17" customFormat="false" ht="15" hidden="false" customHeight="false" outlineLevel="0" collapsed="false">
      <c r="A17" s="40" t="n">
        <v>1000</v>
      </c>
      <c r="B17" s="39" t="n">
        <f aca="false">A17*('Costos IA'!$D$6+'Costos IA'!$D$7+'Costos IA'!$D$8+'Costos IA'!$D$9)/'Costos IA'!$D$4</f>
        <v>1057.6525</v>
      </c>
      <c r="C17" s="39" t="n">
        <f aca="false">'Costos IA'!$D$10+'Costos IA'!$D$11</f>
        <v>10.53375</v>
      </c>
      <c r="D17" s="39" t="n">
        <f aca="false">'Infra Railway'!$H$15</f>
        <v>71.45</v>
      </c>
      <c r="E17" s="39" t="n">
        <f aca="false">B17+C17+D17</f>
        <v>1139.63625</v>
      </c>
    </row>
    <row r="18" customFormat="false" ht="15" hidden="false" customHeight="false" outlineLevel="0" collapsed="false">
      <c r="A18" s="40" t="n">
        <v>1500</v>
      </c>
      <c r="B18" s="39" t="n">
        <f aca="false">A18*('Costos IA'!$D$6+'Costos IA'!$D$7+'Costos IA'!$D$8+'Costos IA'!$D$9)/'Costos IA'!$D$4</f>
        <v>1586.47875</v>
      </c>
      <c r="C18" s="39" t="n">
        <f aca="false">'Costos IA'!$D$10+'Costos IA'!$D$11</f>
        <v>10.53375</v>
      </c>
      <c r="D18" s="39" t="n">
        <f aca="false">'Infra Railway'!$H$15</f>
        <v>71.45</v>
      </c>
      <c r="E18" s="39" t="n">
        <f aca="false">B18+C18+D18</f>
        <v>1668.4625</v>
      </c>
    </row>
    <row r="19" customFormat="false" ht="15" hidden="false" customHeight="false" outlineLevel="0" collapsed="false">
      <c r="A19" s="40" t="n">
        <v>2000</v>
      </c>
      <c r="B19" s="39" t="n">
        <f aca="false">A19*('Costos IA'!$D$6+'Costos IA'!$D$7+'Costos IA'!$D$8+'Costos IA'!$D$9)/'Costos IA'!$D$4</f>
        <v>2115.305</v>
      </c>
      <c r="C19" s="39" t="n">
        <f aca="false">'Costos IA'!$D$10+'Costos IA'!$D$11</f>
        <v>10.53375</v>
      </c>
      <c r="D19" s="39" t="n">
        <f aca="false">'Infra Railway'!$H$15</f>
        <v>71.45</v>
      </c>
      <c r="E19" s="39" t="n">
        <f aca="false">B19+C19+D19</f>
        <v>2197.28875</v>
      </c>
    </row>
    <row r="21" customFormat="false" ht="15" hidden="false" customHeight="false" outlineLevel="0" collapsed="false">
      <c r="A21" s="12" t="s">
        <v>214</v>
      </c>
      <c r="B21" s="12"/>
      <c r="C21" s="12"/>
      <c r="D21" s="12"/>
      <c r="E21" s="12"/>
    </row>
    <row r="22" customFormat="false" ht="30" hidden="false" customHeight="true" outlineLevel="0" collapsed="false">
      <c r="A22" s="3" t="s">
        <v>215</v>
      </c>
      <c r="B22" s="3" t="s">
        <v>216</v>
      </c>
      <c r="C22" s="3" t="s">
        <v>217</v>
      </c>
      <c r="D22" s="3" t="s">
        <v>212</v>
      </c>
      <c r="E22" s="3" t="s">
        <v>213</v>
      </c>
    </row>
    <row r="23" customFormat="false" ht="15" hidden="false" customHeight="false" outlineLevel="0" collapsed="false">
      <c r="A23" s="40" t="n">
        <v>0</v>
      </c>
      <c r="B23" s="39" t="n">
        <f aca="false">A23*'Costos IA'!$D$15*(Supuestos!$C$11*Supuestos!$C$21+Supuestos!$C$12*Supuestos!$C$22)/1000000</f>
        <v>0</v>
      </c>
      <c r="C23" s="39" t="n">
        <f aca="false">'Costos IA'!$D$6+'Costos IA'!$D$7+'Costos IA'!$D$8+'Costos IA'!$D$9+'Costos IA'!$D$11</f>
        <v>793.333125</v>
      </c>
      <c r="D23" s="39" t="n">
        <f aca="false">'Infra Railway'!$H$15</f>
        <v>71.45</v>
      </c>
      <c r="E23" s="39" t="n">
        <f aca="false">B23+C23+D23</f>
        <v>864.783125</v>
      </c>
    </row>
    <row r="24" customFormat="false" ht="15" hidden="false" customHeight="false" outlineLevel="0" collapsed="false">
      <c r="A24" s="40" t="n">
        <v>12</v>
      </c>
      <c r="B24" s="39" t="n">
        <f aca="false">A24*'Costos IA'!$D$15*(Supuestos!$C$11*Supuestos!$C$21+Supuestos!$C$12*Supuestos!$C$22)/1000000</f>
        <v>10.44</v>
      </c>
      <c r="C24" s="39" t="n">
        <f aca="false">'Costos IA'!$D$6+'Costos IA'!$D$7+'Costos IA'!$D$8+'Costos IA'!$D$9+'Costos IA'!$D$11</f>
        <v>793.333125</v>
      </c>
      <c r="D24" s="39" t="n">
        <f aca="false">'Infra Railway'!$H$15</f>
        <v>71.45</v>
      </c>
      <c r="E24" s="39" t="n">
        <f aca="false">B24+C24+D24</f>
        <v>875.223125</v>
      </c>
    </row>
    <row r="25" customFormat="false" ht="15" hidden="false" customHeight="false" outlineLevel="0" collapsed="false">
      <c r="A25" s="40" t="n">
        <v>30</v>
      </c>
      <c r="B25" s="39" t="n">
        <f aca="false">A25*'Costos IA'!$D$15*(Supuestos!$C$11*Supuestos!$C$21+Supuestos!$C$12*Supuestos!$C$22)/1000000</f>
        <v>26.1</v>
      </c>
      <c r="C25" s="39" t="n">
        <f aca="false">'Costos IA'!$D$6+'Costos IA'!$D$7+'Costos IA'!$D$8+'Costos IA'!$D$9+'Costos IA'!$D$11</f>
        <v>793.333125</v>
      </c>
      <c r="D25" s="39" t="n">
        <f aca="false">'Infra Railway'!$H$15</f>
        <v>71.45</v>
      </c>
      <c r="E25" s="39" t="n">
        <f aca="false">B25+C25+D25</f>
        <v>890.883125</v>
      </c>
    </row>
    <row r="26" customFormat="false" ht="15" hidden="false" customHeight="false" outlineLevel="0" collapsed="false">
      <c r="A26" s="40" t="n">
        <v>60</v>
      </c>
      <c r="B26" s="39" t="n">
        <f aca="false">A26*'Costos IA'!$D$15*(Supuestos!$C$11*Supuestos!$C$21+Supuestos!$C$12*Supuestos!$C$22)/1000000</f>
        <v>52.2</v>
      </c>
      <c r="C26" s="39" t="n">
        <f aca="false">'Costos IA'!$D$6+'Costos IA'!$D$7+'Costos IA'!$D$8+'Costos IA'!$D$9+'Costos IA'!$D$11</f>
        <v>793.333125</v>
      </c>
      <c r="D26" s="39" t="n">
        <f aca="false">'Infra Railway'!$H$15</f>
        <v>71.45</v>
      </c>
      <c r="E26" s="39" t="n">
        <f aca="false">B26+C26+D26</f>
        <v>916.983125</v>
      </c>
    </row>
    <row r="28" customFormat="false" ht="15" hidden="false" customHeight="false" outlineLevel="0" collapsed="false">
      <c r="A28" s="12" t="s">
        <v>218</v>
      </c>
      <c r="B28" s="12"/>
      <c r="C28" s="12"/>
      <c r="D28" s="12"/>
      <c r="E28" s="12"/>
    </row>
    <row r="29" customFormat="false" ht="30" hidden="false" customHeight="true" outlineLevel="0" collapsed="false">
      <c r="A29" s="3" t="s">
        <v>219</v>
      </c>
      <c r="B29" s="3" t="s">
        <v>220</v>
      </c>
      <c r="C29" s="3" t="s">
        <v>221</v>
      </c>
      <c r="D29" s="3" t="s">
        <v>222</v>
      </c>
      <c r="E29" s="3"/>
    </row>
    <row r="30" customFormat="false" ht="15" hidden="false" customHeight="false" outlineLevel="0" collapsed="false">
      <c r="A30" s="19" t="s">
        <v>223</v>
      </c>
      <c r="B30" s="44" t="n">
        <v>0.046</v>
      </c>
      <c r="C30" s="39" t="n">
        <f aca="false">B30*22*'Costos IA'!$D$4</f>
        <v>759</v>
      </c>
      <c r="D30" s="39" t="n">
        <f aca="false">C30-$C$31</f>
        <v>-33</v>
      </c>
    </row>
    <row r="31" customFormat="false" ht="15" hidden="false" customHeight="false" outlineLevel="0" collapsed="false">
      <c r="A31" s="19" t="s">
        <v>224</v>
      </c>
      <c r="B31" s="44" t="n">
        <v>0.048</v>
      </c>
      <c r="C31" s="39" t="n">
        <f aca="false">B31*22*'Costos IA'!$D$4</f>
        <v>792</v>
      </c>
      <c r="D31" s="39" t="n">
        <f aca="false">C31-$C$31</f>
        <v>0</v>
      </c>
    </row>
    <row r="32" customFormat="false" ht="15" hidden="false" customHeight="false" outlineLevel="0" collapsed="false">
      <c r="A32" s="19" t="s">
        <v>225</v>
      </c>
      <c r="B32" s="44" t="n">
        <v>0.055</v>
      </c>
      <c r="C32" s="39" t="n">
        <f aca="false">B32*22*'Costos IA'!$D$4</f>
        <v>907.5</v>
      </c>
      <c r="D32" s="39" t="n">
        <f aca="false">C32-$C$31</f>
        <v>115.5</v>
      </c>
    </row>
  </sheetData>
  <mergeCells count="6">
    <mergeCell ref="A1:E1"/>
    <mergeCell ref="A2:E2"/>
    <mergeCell ref="A3:E3"/>
    <mergeCell ref="A12:E12"/>
    <mergeCell ref="A21:E21"/>
    <mergeCell ref="A28:E28"/>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2265625" defaultRowHeight="15" zeroHeight="false" outlineLevelRow="0" outlineLevelCol="0"/>
  <cols>
    <col collapsed="false" customWidth="true" hidden="false" outlineLevel="0" max="1" min="1" style="0" width="28"/>
    <col collapsed="false" customWidth="true" hidden="false" outlineLevel="0" max="2" min="2" style="0" width="52"/>
    <col collapsed="false" customWidth="true" hidden="false" outlineLevel="0" max="3" min="3" style="0" width="78"/>
  </cols>
  <sheetData>
    <row r="1" customFormat="false" ht="30" hidden="false" customHeight="true" outlineLevel="0" collapsed="false">
      <c r="A1" s="1" t="s">
        <v>226</v>
      </c>
      <c r="B1" s="1"/>
      <c r="C1" s="1"/>
    </row>
    <row r="2" customFormat="false" ht="27.75" hidden="false" customHeight="true" outlineLevel="0" collapsed="false">
      <c r="A2" s="2" t="s">
        <v>227</v>
      </c>
      <c r="B2" s="2"/>
      <c r="C2" s="2"/>
    </row>
    <row r="3" customFormat="false" ht="30" hidden="false" customHeight="true" outlineLevel="0" collapsed="false">
      <c r="A3" s="3" t="s">
        <v>228</v>
      </c>
      <c r="B3" s="3" t="s">
        <v>229</v>
      </c>
      <c r="C3" s="3" t="s">
        <v>230</v>
      </c>
    </row>
    <row r="4" customFormat="false" ht="22" hidden="false" customHeight="false" outlineLevel="0" collapsed="false">
      <c r="A4" s="45" t="s">
        <v>231</v>
      </c>
      <c r="B4" s="46" t="s">
        <v>232</v>
      </c>
      <c r="C4" s="47" t="s">
        <v>233</v>
      </c>
    </row>
    <row r="5" customFormat="false" ht="15" hidden="false" customHeight="false" outlineLevel="0" collapsed="false">
      <c r="A5" s="45" t="s">
        <v>234</v>
      </c>
      <c r="B5" s="46" t="s">
        <v>235</v>
      </c>
      <c r="C5" s="47" t="s">
        <v>236</v>
      </c>
    </row>
    <row r="6" customFormat="false" ht="15" hidden="false" customHeight="false" outlineLevel="0" collapsed="false">
      <c r="A6" s="45" t="s">
        <v>237</v>
      </c>
      <c r="B6" s="46" t="s">
        <v>238</v>
      </c>
      <c r="C6" s="47" t="s">
        <v>239</v>
      </c>
    </row>
    <row r="7" customFormat="false" ht="15" hidden="false" customHeight="false" outlineLevel="0" collapsed="false">
      <c r="A7" s="45" t="s">
        <v>240</v>
      </c>
      <c r="B7" s="46" t="s">
        <v>241</v>
      </c>
      <c r="C7" s="47" t="s">
        <v>242</v>
      </c>
    </row>
    <row r="8" customFormat="false" ht="15" hidden="false" customHeight="false" outlineLevel="0" collapsed="false">
      <c r="A8" s="45" t="s">
        <v>243</v>
      </c>
      <c r="B8" s="46" t="s">
        <v>244</v>
      </c>
      <c r="C8" s="47" t="s">
        <v>245</v>
      </c>
    </row>
    <row r="9" customFormat="false" ht="15" hidden="false" customHeight="false" outlineLevel="0" collapsed="false">
      <c r="A9" s="45" t="s">
        <v>246</v>
      </c>
      <c r="B9" s="46" t="s">
        <v>247</v>
      </c>
      <c r="C9" s="47" t="s">
        <v>248</v>
      </c>
    </row>
    <row r="10" customFormat="false" ht="15" hidden="false" customHeight="false" outlineLevel="0" collapsed="false">
      <c r="A10" s="45" t="s">
        <v>249</v>
      </c>
      <c r="B10" s="46" t="s">
        <v>250</v>
      </c>
      <c r="C10" s="47" t="s">
        <v>251</v>
      </c>
    </row>
    <row r="11" customFormat="false" ht="15" hidden="false" customHeight="false" outlineLevel="0" collapsed="false">
      <c r="A11" s="45" t="s">
        <v>252</v>
      </c>
      <c r="B11" s="46" t="s">
        <v>253</v>
      </c>
      <c r="C11" s="47" t="s">
        <v>254</v>
      </c>
    </row>
    <row r="12" customFormat="false" ht="15" hidden="false" customHeight="false" outlineLevel="0" collapsed="false">
      <c r="A12" s="45" t="s">
        <v>255</v>
      </c>
      <c r="B12" s="46" t="s">
        <v>256</v>
      </c>
      <c r="C12" s="47" t="s">
        <v>257</v>
      </c>
    </row>
    <row r="13" customFormat="false" ht="15" hidden="false" customHeight="false" outlineLevel="0" collapsed="false">
      <c r="A13" s="45" t="s">
        <v>258</v>
      </c>
      <c r="B13" s="46" t="s">
        <v>259</v>
      </c>
      <c r="C13" s="47" t="s">
        <v>260</v>
      </c>
    </row>
    <row r="16" customFormat="false" ht="15" hidden="false" customHeight="false" outlineLevel="0" collapsed="false">
      <c r="A16" s="12" t="s">
        <v>261</v>
      </c>
      <c r="B16" s="12"/>
      <c r="C16" s="12"/>
    </row>
    <row r="17" customFormat="false" ht="15" hidden="false" customHeight="true" outlineLevel="0" collapsed="false">
      <c r="A17" s="23" t="s">
        <v>262</v>
      </c>
      <c r="B17" s="23"/>
      <c r="C17" s="23"/>
    </row>
    <row r="18" customFormat="false" ht="15" hidden="false" customHeight="false" outlineLevel="0" collapsed="false">
      <c r="A18" s="23"/>
      <c r="B18" s="23"/>
      <c r="C18" s="23"/>
    </row>
    <row r="19" customFormat="false" ht="15" hidden="false" customHeight="false" outlineLevel="0" collapsed="false">
      <c r="A19" s="23"/>
      <c r="B19" s="23"/>
      <c r="C19" s="23"/>
    </row>
    <row r="20" customFormat="false" ht="15" hidden="false" customHeight="false" outlineLevel="0" collapsed="false">
      <c r="A20" s="23"/>
      <c r="B20" s="23"/>
      <c r="C20" s="23"/>
    </row>
  </sheetData>
  <mergeCells count="4">
    <mergeCell ref="A1:C1"/>
    <mergeCell ref="A2:C2"/>
    <mergeCell ref="A16:C16"/>
    <mergeCell ref="A17:C20"/>
  </mergeCells>
  <hyperlinks>
    <hyperlink ref="B4" r:id="rId1" display="https://railway.com/pricing"/>
    <hyperlink ref="B5" r:id="rId2" display="https://yce.perfectcorp.com/ai-api/api-pricing"/>
    <hyperlink ref="B6" r:id="rId3" display="https://ai.google.dev/gemini-api/docs/pricing"/>
    <hyperlink ref="B7" r:id="rId4" display="https://api-docs.deepseek.com/quick_start/pricing"/>
    <hyperlink ref="B8" r:id="rId5" display="https://www.larepublica.co/indicadores-economicos/mercado-cambiario/dolar"/>
  </hyperlink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2026-10-25T23:02:26Z</dcterms:created>
  <dc:creator>openpyxl</dc:creator>
  <dc:description/>
  <dc:language>es-CO</dc:language>
  <cp:lastModifiedBy/>
  <dcterms:modified xsi:type="dcterms:W3CDTF">2026-10-25T23:02:26Z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